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ics" sheetId="2" state="visible" r:id="rId4"/>
    <sheet name="Facts" sheetId="3" state="visible" r:id="rId5"/>
    <sheet name="Sources" sheetId="4" state="visible" r:id="rId6"/>
    <sheet name="Season stages" sheetId="5" state="visible" r:id="rId7"/>
    <sheet name="Advisor questions" sheetId="6" state="visible" r:id="rId8"/>
    <sheet name="Lists" sheetId="7" state="hidden" r:id="rId9"/>
  </sheets>
  <definedNames>
    <definedName function="false" hidden="true" localSheetId="5" name="_xlnm._FilterDatabase" vbProcedure="false">'Advisor questions'!$A$1:$E$9</definedName>
    <definedName function="false" hidden="true" localSheetId="2" name="_xlnm._FilterDatabase" vbProcedure="false">Facts!$A$1:$R$22</definedName>
    <definedName function="false" hidden="true" localSheetId="4" name="_xlnm._FilterDatabase" vbProcedure="false">'Season stages'!$A$1:$L$10</definedName>
    <definedName function="false" hidden="true" localSheetId="3" name="_xlnm._FilterDatabase" vbProcedure="false">Sources!$A$1:$N$23</definedName>
    <definedName function="false" hidden="true" localSheetId="1" name="_xlnm._FilterDatabase" vbProcedure="false">Topics!$A$1:$H$8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Topic name. Used as the key by every other tab, so spell it the same everywhere.</t>
        </r>
      </text>
    </comment>
    <comment ref="B1" authorId="0">
      <text>
        <r>
          <rPr>
            <sz val="10"/>
            <rFont val="Arial"/>
            <family val="2"/>
          </rPr>
          <t xml:space="preserve">Order in the Learn menu (1 = first).</t>
        </r>
      </text>
    </comment>
    <comment ref="C1" authorId="0">
      <text>
        <r>
          <rPr>
            <sz val="10"/>
            <rFont val="Arial"/>
            <family val="2"/>
          </rPr>
          <t xml:space="preserve">One sentence on why this matters, shown under the topic title. Under 25 words.</t>
        </r>
      </text>
    </comment>
    <comment ref="D1" authorId="0">
      <text>
        <r>
          <rPr>
            <sz val="10"/>
            <rFont val="Arial"/>
            <family val="2"/>
          </rPr>
          <t xml:space="preserve">Which picture the page draws for this topic.</t>
        </r>
      </text>
    </comment>
    <comment ref="E1" authorId="0">
      <text>
        <r>
          <rPr>
            <sz val="10"/>
            <rFont val="Arial"/>
            <family val="2"/>
          </rPr>
          <t xml:space="preserve">yes = What to do is numbered and must be done in order. no = independent actions.</t>
        </r>
      </text>
    </comment>
    <comment ref="F1" authorId="0">
      <text>
        <r>
          <rPr>
            <sz val="10"/>
            <rFont val="Arial"/>
            <family val="2"/>
          </rPr>
          <t xml:space="preserve">Automatic. Facts in this topic with status live.</t>
        </r>
      </text>
    </comment>
    <comment ref="G1" authorId="0">
      <text>
        <r>
          <rPr>
            <sz val="10"/>
            <rFont val="Arial"/>
            <family val="2"/>
          </rPr>
          <t xml:space="preserve">Automatic. All facts in this topic.</t>
        </r>
      </text>
    </comment>
    <comment ref="H1" authorId="0">
      <text>
        <r>
          <rPr>
            <sz val="10"/>
            <rFont val="Arial"/>
            <family val="2"/>
          </rPr>
          <t xml:space="preserve">Anything for the team. Not shown in the app.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Permanent id, e.g. fert-04. Never change or reuse it: saved notes link to it.</t>
        </r>
      </text>
    </comment>
    <comment ref="B1" authorId="0">
      <text>
        <r>
          <rPr>
            <sz val="10"/>
            <rFont val="Arial"/>
            <family val="2"/>
          </rPr>
          <t xml:space="preserve">Pick from the dropdown (comes from the Topics tab).</t>
        </r>
      </text>
    </comment>
    <comment ref="C1" authorId="0">
      <text>
        <r>
          <rPr>
            <sz val="10"/>
            <rFont val="Arial"/>
            <family val="2"/>
          </rPr>
          <t xml:space="preserve">Position in What to do (1, 2, 3...). Leave blank if it is not a step.</t>
        </r>
      </text>
    </comment>
    <comment ref="D1" authorId="0">
      <text>
        <r>
          <rPr>
            <sz val="10"/>
            <rFont val="Arial"/>
            <family val="2"/>
          </rPr>
          <t xml:space="preserve">The step the farmer does, shown in What to do and My season. Under 10 words, starts with a verb.</t>
        </r>
      </text>
    </comment>
    <comment ref="E1" authorId="0">
      <text>
        <r>
          <rPr>
            <sz val="10"/>
            <rFont val="Arial"/>
            <family val="2"/>
          </rPr>
          <t xml:space="preserve">Icon next to the step.</t>
        </r>
      </text>
    </comment>
    <comment ref="F1" authorId="0">
      <text>
        <r>
          <rPr>
            <sz val="10"/>
            <rFont val="Arial"/>
            <family val="2"/>
          </rPr>
          <t xml:space="preserve">Headline of the Did you know card. Under 8 words.</t>
        </r>
      </text>
    </comment>
    <comment ref="G1" authorId="0">
      <text>
        <r>
          <rPr>
            <sz val="10"/>
            <rFont val="Arial"/>
            <family val="2"/>
          </rPr>
          <t xml:space="preserve">Plain English, under 25 words, one idea. Shown when the farmer taps Why?, and given to the advisor.</t>
        </r>
      </text>
    </comment>
    <comment ref="H1" authorId="0">
      <text>
        <r>
          <rPr>
            <sz val="10"/>
            <rFont val="Arial"/>
            <family val="2"/>
          </rPr>
          <t xml:space="preserve">Optional. A surprising one-liner for the Did you know card. If blank the card uses farmer_summary.</t>
        </r>
      </text>
    </comment>
    <comment ref="I1" authorId="0">
      <text>
        <r>
          <rPr>
            <sz val="10"/>
            <rFont val="Arial"/>
            <family val="2"/>
          </rPr>
          <t xml:space="preserve">Optional. A number with its unit and region, e.g. '2 bags per acre, Central region'.</t>
        </r>
      </text>
    </comment>
    <comment ref="J1" authorId="0">
      <text>
        <r>
          <rPr>
            <sz val="10"/>
            <rFont val="Arial"/>
            <family val="2"/>
          </rPr>
          <t xml:space="preserve">Who should see it. 'all farms' for everyone.</t>
        </r>
      </text>
    </comment>
    <comment ref="K1" authorId="0">
      <text>
        <r>
          <rPr>
            <sz val="10"/>
            <rFont val="Arial"/>
            <family val="2"/>
          </rPr>
          <t xml:space="preserve">draft = being written. checked = facts and sources verified. live = shown in the app. retired = no longer shown.</t>
        </r>
      </text>
    </comment>
    <comment ref="L1" authorId="0">
      <text>
        <r>
          <rPr>
            <sz val="10"/>
            <rFont val="Arial"/>
            <family val="2"/>
          </rPr>
          <t xml:space="preserve">Who is responsible for this row.</t>
        </r>
      </text>
    </comment>
    <comment ref="M1" authorId="0">
      <text>
        <r>
          <rPr>
            <sz val="10"/>
            <rFont val="Arial"/>
            <family val="2"/>
          </rPr>
          <t xml:space="preserve">Date the content and sources were last verified.</t>
        </r>
      </text>
    </comment>
    <comment ref="N1" authorId="0">
      <text>
        <r>
          <rPr>
            <sz val="10"/>
            <rFont val="Arial"/>
            <family val="2"/>
          </rPr>
          <t xml:space="preserve">What evidence is missing. Not shown in the app.</t>
        </r>
      </text>
    </comment>
    <comment ref="O1" authorId="0">
      <text>
        <r>
          <rPr>
            <sz val="10"/>
            <rFont val="Arial"/>
            <family val="2"/>
          </rPr>
          <t xml:space="preserve">Working notes. Not shown in the app.</t>
        </r>
      </text>
    </comment>
    <comment ref="P1" authorId="0">
      <text>
        <r>
          <rPr>
            <sz val="10"/>
            <rFont val="Arial"/>
            <family val="2"/>
          </rPr>
          <t xml:space="preserve">Automatic. Number of rows on the Sources tab for this fact.</t>
        </r>
      </text>
    </comment>
    <comment ref="Q1" authorId="0">
      <text>
        <r>
          <rPr>
            <sz val="10"/>
            <rFont val="Arial"/>
            <family val="2"/>
          </rPr>
          <t xml:space="preserve">Automatic. Sources marked checked = yes.</t>
        </r>
      </text>
    </comment>
    <comment ref="R1" authorId="0">
      <text>
        <r>
          <rPr>
            <sz val="10"/>
            <rFont val="Arial"/>
            <family val="2"/>
          </rPr>
          <t xml:space="preserve">Automatic. Yes when action, title and summary are filled in and at least one source is checked.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Permanent id, e.g. src-023.</t>
        </r>
      </text>
    </comment>
    <comment ref="B1" authorId="0">
      <text>
        <r>
          <rPr>
            <sz val="10"/>
            <rFont val="Arial"/>
            <family val="2"/>
          </rPr>
          <t xml:space="preserve">Which fact this source supports (dropdown from the Facts tab). One row per source and fact; three sources for one fact = three rows.</t>
        </r>
      </text>
    </comment>
    <comment ref="C1" authorId="0">
      <text>
        <r>
          <rPr>
            <sz val="10"/>
            <rFont val="Arial"/>
            <family val="2"/>
          </rPr>
          <t xml:space="preserve">Title of the paper, guide or page.</t>
        </r>
      </text>
    </comment>
    <comment ref="D1" authorId="0">
      <text>
        <r>
          <rPr>
            <sz val="10"/>
            <rFont val="Arial"/>
            <family val="2"/>
          </rPr>
          <t xml:space="preserve">Journal, ministry or organisation.</t>
        </r>
      </text>
    </comment>
    <comment ref="E1" authorId="0">
      <text>
        <r>
          <rPr>
            <sz val="10"/>
            <rFont val="Arial"/>
            <family val="2"/>
          </rPr>
          <t xml:space="preserve">Year published, as text.</t>
        </r>
      </text>
    </comment>
    <comment ref="F1" authorId="0">
      <text>
        <r>
          <rPr>
            <sz val="10"/>
            <rFont val="Arial"/>
            <family val="2"/>
          </rPr>
          <t xml:space="preserve">Link the farmer can open.</t>
        </r>
      </text>
    </comment>
    <comment ref="G1" authorId="0">
      <text>
        <r>
          <rPr>
            <sz val="10"/>
            <rFont val="Arial"/>
            <family val="2"/>
          </rPr>
          <t xml:space="preserve">What this source says that supports the fact, in one plain sentence. Shown under the link in the app.</t>
        </r>
      </text>
    </comment>
    <comment ref="H1" authorId="0">
      <text>
        <r>
          <rPr>
            <sz val="10"/>
            <rFont val="Arial"/>
            <family val="2"/>
          </rPr>
          <t xml:space="preserve">Kind of source.</t>
        </r>
      </text>
    </comment>
    <comment ref="I1" authorId="0">
      <text>
        <r>
          <rPr>
            <sz val="10"/>
            <rFont val="Arial"/>
            <family val="2"/>
          </rPr>
          <t xml:space="preserve">Where the evidence comes from. Prefer Malawi.</t>
        </r>
      </text>
    </comment>
    <comment ref="J1" authorId="0">
      <text>
        <r>
          <rPr>
            <sz val="10"/>
            <rFont val="Arial"/>
            <family val="2"/>
          </rPr>
          <t xml:space="preserve">yes once someone has read it and confirmed it supports the fact.</t>
        </r>
      </text>
    </comment>
    <comment ref="K1" authorId="0">
      <text>
        <r>
          <rPr>
            <sz val="10"/>
            <rFont val="Arial"/>
            <family val="2"/>
          </rPr>
          <t xml:space="preserve">Who checked it.</t>
        </r>
      </text>
    </comment>
    <comment ref="L1" authorId="0">
      <text>
        <r>
          <rPr>
            <sz val="10"/>
            <rFont val="Arial"/>
            <family val="2"/>
          </rPr>
          <t xml:space="preserve">Date checked.</t>
        </r>
      </text>
    </comment>
    <comment ref="M1" authorId="0">
      <text>
        <r>
          <rPr>
            <sz val="10"/>
            <rFont val="Arial"/>
            <family val="2"/>
          </rPr>
          <t xml:space="preserve">Not shown in the app.</t>
        </r>
      </text>
    </comment>
    <comment ref="N1" authorId="0">
      <text>
        <r>
          <rPr>
            <sz val="10"/>
            <rFont val="Arial"/>
            <family val="2"/>
          </rPr>
          <t xml:space="preserve">Automatic. Warns if fact_id does not match any fact.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Permanent id, e.g. top.</t>
        </r>
      </text>
    </comment>
    <comment ref="B1" authorId="0">
      <text>
        <r>
          <rPr>
            <sz val="10"/>
            <rFont val="Arial"/>
            <family val="2"/>
          </rPr>
          <t xml:space="preserve">Position in the season plan.</t>
        </r>
      </text>
    </comment>
    <comment ref="C1" authorId="0">
      <text>
        <r>
          <rPr>
            <sz val="10"/>
            <rFont val="Arial"/>
            <family val="2"/>
          </rPr>
          <t xml:space="preserve">Step name in My season. Under 8 words.</t>
        </r>
      </text>
    </comment>
    <comment ref="D1" authorId="0">
      <text>
        <r>
          <rPr>
            <sz val="10"/>
            <rFont val="Arial"/>
            <family val="2"/>
          </rPr>
          <t xml:space="preserve">One practical sentence shown under the step.</t>
        </r>
      </text>
    </comment>
    <comment ref="E1" authorId="0">
      <text>
        <r>
          <rPr>
            <sz val="10"/>
            <rFont val="Arial"/>
            <family val="2"/>
          </rPr>
          <t xml:space="preserve">Start of the window in weeks after planting. Negative = before planting (e.g. -4 = four weeks before).</t>
        </r>
      </text>
    </comment>
    <comment ref="F1" authorId="0">
      <text>
        <r>
          <rPr>
            <sz val="10"/>
            <rFont val="Arial"/>
            <family val="2"/>
          </rPr>
          <t xml:space="preserve">End of the window in weeks after planting.</t>
        </r>
      </text>
    </comment>
    <comment ref="G1" authorId="0">
      <text>
        <r>
          <rPr>
            <sz val="10"/>
            <rFont val="Arial"/>
            <family val="2"/>
          </rPr>
          <t xml:space="preserve">Optional. The fact opened by 'How and why?'.</t>
        </r>
      </text>
    </comment>
    <comment ref="H1" authorId="0">
      <text>
        <r>
          <rPr>
            <sz val="10"/>
            <rFont val="Arial"/>
            <family val="2"/>
          </rPr>
          <t xml:space="preserve">Who gets this step.</t>
        </r>
      </text>
    </comment>
    <comment ref="I1" authorId="0">
      <text>
        <r>
          <rPr>
            <sz val="10"/>
            <rFont val="Arial"/>
            <family val="2"/>
          </rPr>
          <t xml:space="preserve">draft until the timing is checked against a source.</t>
        </r>
      </text>
    </comment>
    <comment ref="J1" authorId="0">
      <text>
        <r>
          <rPr>
            <sz val="10"/>
            <rFont val="Arial"/>
            <family val="2"/>
          </rPr>
          <t xml:space="preserve">Source for the timing (from the Sources tab).</t>
        </r>
      </text>
    </comment>
    <comment ref="K1" authorId="0">
      <text>
        <r>
          <rPr>
            <sz val="10"/>
            <rFont val="Arial"/>
            <family val="2"/>
          </rPr>
          <t xml:space="preserve">Not shown in the app.</t>
        </r>
      </text>
    </comment>
    <comment ref="L1" authorId="0">
      <text>
        <r>
          <rPr>
            <sz val="10"/>
            <rFont val="Arial"/>
            <family val="2"/>
          </rPr>
          <t xml:space="preserve">Automatic. Flags impossible windows and broken fact links.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Topic the question belongs to.</t>
        </r>
      </text>
    </comment>
    <comment ref="B1" authorId="0">
      <text>
        <r>
          <rPr>
            <sz val="10"/>
            <rFont val="Arial"/>
            <family val="2"/>
          </rPr>
          <t xml:space="preserve">Order shown in the advisor.</t>
        </r>
      </text>
    </comment>
    <comment ref="C1" authorId="0">
      <text>
        <r>
          <rPr>
            <sz val="10"/>
            <rFont val="Arial"/>
            <family val="2"/>
          </rPr>
          <t xml:space="preserve">A question a farmer would ask, in their words. Under 10 words.</t>
        </r>
      </text>
    </comment>
    <comment ref="D1" authorId="0">
      <text>
        <r>
          <rPr>
            <sz val="10"/>
            <rFont val="Arial"/>
            <family val="2"/>
          </rPr>
          <t xml:space="preserve">yes = shown as a suggestion chip.</t>
        </r>
      </text>
    </comment>
    <comment ref="E1" authorId="0">
      <text>
        <r>
          <rPr>
            <sz val="10"/>
            <rFont val="Arial"/>
            <family val="2"/>
          </rPr>
          <t xml:space="preserve">Not shown in the app.</t>
        </r>
      </text>
    </comment>
  </commentList>
</comments>
</file>

<file path=xl/sharedStrings.xml><?xml version="1.0" encoding="utf-8"?>
<sst xmlns="http://schemas.openxmlformats.org/spreadsheetml/2006/main" count="602" uniqueCount="392">
  <si>
    <t xml:space="preserve">AgriAI Malawi knowledge base</t>
  </si>
  <si>
    <t xml:space="preserve">What this is</t>
  </si>
  <si>
    <t xml:space="preserve">Everything the app teaches farmers: Learn guides, What to do steps, Did you know cards, the My season plan and advisor suggestions. Edit here, export, and the app updates without a code change.</t>
  </si>
  <si>
    <t xml:space="preserve">Tabs</t>
  </si>
  <si>
    <t xml:space="preserve">Topics</t>
  </si>
  <si>
    <t xml:space="preserve">One row per Learn topic.</t>
  </si>
  <si>
    <t xml:space="preserve">Facts</t>
  </si>
  <si>
    <t xml:space="preserve">One row per tip or step. The main tab.</t>
  </si>
  <si>
    <t xml:space="preserve">Sources</t>
  </si>
  <si>
    <t xml:space="preserve">One row per source and fact. Several sources for one fact = several rows.</t>
  </si>
  <si>
    <t xml:space="preserve">Season stages</t>
  </si>
  <si>
    <t xml:space="preserve">The dated steps in My season, timed in weeks from planting.</t>
  </si>
  <si>
    <t xml:space="preserve">Advisor questions</t>
  </si>
  <si>
    <t xml:space="preserve">Suggested questions shown in the advisor.</t>
  </si>
  <si>
    <t xml:space="preserve">Column colours</t>
  </si>
  <si>
    <t xml:space="preserve">Dark green header</t>
  </si>
  <si>
    <t xml:space="preserve">Farmer-facing text. Shown in the app, so keep it short and plain.</t>
  </si>
  <si>
    <t xml:space="preserve">Grey header</t>
  </si>
  <si>
    <t xml:space="preserve">Controls how and where things show (ids, order, icons, dropdowns).</t>
  </si>
  <si>
    <t xml:space="preserve">Brown header</t>
  </si>
  <si>
    <t xml:space="preserve">For the team only. Never shown in the app.</t>
  </si>
  <si>
    <t xml:space="preserve">Light grey cells</t>
  </si>
  <si>
    <t xml:space="preserve">Automatic formulas. Do not type in them.</t>
  </si>
  <si>
    <t xml:space="preserve">Hover a header</t>
  </si>
  <si>
    <t xml:space="preserve">Each header has a comment explaining what goes in it.</t>
  </si>
  <si>
    <t xml:space="preserve">Rules</t>
  </si>
  <si>
    <t xml:space="preserve">1. One idea per row</t>
  </si>
  <si>
    <t xml:space="preserve">Do not put a paragraph in one cell. The app turns each row into one card or step.</t>
  </si>
  <si>
    <t xml:space="preserve">2. Keep farmer text short</t>
  </si>
  <si>
    <t xml:space="preserve">action under 10 words, title under 8, farmer_summary under 25. Cells turn orange when too long.</t>
  </si>
  <si>
    <t xml:space="preserve">3. Status decides what is live</t>
  </si>
  <si>
    <t xml:space="preserve">Only status = live is shown. Set live only when ready_to_go_live says Yes (at least one checked source).</t>
  </si>
  <si>
    <t xml:space="preserve">4. Never change an id</t>
  </si>
  <si>
    <t xml:space="preserve">Saved notes and chats link to ids. To remove a row, set status to retired instead of deleting it.</t>
  </si>
  <si>
    <t xml:space="preserve">5. Numbers need unit and region</t>
  </si>
  <si>
    <t xml:space="preserve">Write '2 bags per acre, Central region', not just '2'.</t>
  </si>
  <si>
    <t xml:space="preserve">6. No dashes in farmer text</t>
  </si>
  <si>
    <t xml:space="preserve">Use commas or full stops, to match the app style.</t>
  </si>
  <si>
    <t xml:space="preserve">7. Add, don't edit, dropdown lists</t>
  </si>
  <si>
    <t xml:space="preserve">To add a new option (e.g. a new region), ask Amy; the lists live on a hidden Lists tab.</t>
  </si>
  <si>
    <t xml:space="preserve">Status</t>
  </si>
  <si>
    <t xml:space="preserve">draft</t>
  </si>
  <si>
    <t xml:space="preserve">Being written. Not shown.</t>
  </si>
  <si>
    <t xml:space="preserve">checked</t>
  </si>
  <si>
    <t xml:space="preserve">Content and sources verified by a second person. Not shown yet.</t>
  </si>
  <si>
    <t xml:space="preserve">live</t>
  </si>
  <si>
    <t xml:space="preserve">Shown in the app.</t>
  </si>
  <si>
    <t xml:space="preserve">retired</t>
  </si>
  <si>
    <t xml:space="preserve">Kept for history and old saved notes. Not shown.</t>
  </si>
  <si>
    <t xml:space="preserve">Workflow</t>
  </si>
  <si>
    <t xml:space="preserve">Steps</t>
  </si>
  <si>
    <t xml:space="preserve">Joey edits this sheet → export each tab as CSV → the backend import script loads it into the database → the app updates.</t>
  </si>
  <si>
    <t xml:space="preserve">Current content</t>
  </si>
  <si>
    <t xml:space="preserve">The rows already in each tab are what the prototype shows today. Everything is still draft and sources are unchecked.</t>
  </si>
  <si>
    <t xml:space="preserve">Checks (automatic)</t>
  </si>
  <si>
    <t xml:space="preserve">Facts in total</t>
  </si>
  <si>
    <t xml:space="preserve">Facts live</t>
  </si>
  <si>
    <t xml:space="preserve">Facts ready to go live</t>
  </si>
  <si>
    <t xml:space="preserve">Live facts with no checked source</t>
  </si>
  <si>
    <t xml:space="preserve">Facts with no source at all</t>
  </si>
  <si>
    <t xml:space="preserve">Sources in total</t>
  </si>
  <si>
    <t xml:space="preserve">Sources checked</t>
  </si>
  <si>
    <t xml:space="preserve">Sources with a broken fact_id</t>
  </si>
  <si>
    <t xml:space="preserve">Season stages needing a fix</t>
  </si>
  <si>
    <t xml:space="preserve">topic</t>
  </si>
  <si>
    <t xml:space="preserve">order</t>
  </si>
  <si>
    <t xml:space="preserve">why</t>
  </si>
  <si>
    <t xml:space="preserve">visual</t>
  </si>
  <si>
    <t xml:space="preserve">ordered_steps</t>
  </si>
  <si>
    <t xml:space="preserve">live_facts</t>
  </si>
  <si>
    <t xml:space="preserve">all_facts</t>
  </si>
  <si>
    <t xml:space="preserve">notes</t>
  </si>
  <si>
    <t xml:space="preserve">Planting</t>
  </si>
  <si>
    <t xml:space="preserve">The first good rains start the season. Every week you wait, the crop has less time to grow.</t>
  </si>
  <si>
    <t xml:space="preserve">planting</t>
  </si>
  <si>
    <t xml:space="preserve">yes</t>
  </si>
  <si>
    <t xml:space="preserve">Fertilizer</t>
  </si>
  <si>
    <t xml:space="preserve">Fertilizer feeds the crop twice: once to start it, once when it grows fast.</t>
  </si>
  <si>
    <t xml:space="preserve">fertilizer</t>
  </si>
  <si>
    <t xml:space="preserve">Seed</t>
  </si>
  <si>
    <t xml:space="preserve">Hybrid seed gives more in a good season, but you must buy new seed each year.</t>
  </si>
  <si>
    <t xml:space="preserve">seed</t>
  </si>
  <si>
    <t xml:space="preserve">no</t>
  </si>
  <si>
    <t xml:space="preserve">Soil</t>
  </si>
  <si>
    <t xml:space="preserve">Healthy soil holds water and helps the crop use fertilizer.</t>
  </si>
  <si>
    <t xml:space="preserve">soil</t>
  </si>
  <si>
    <t xml:space="preserve">Mixed cropping</t>
  </si>
  <si>
    <t xml:space="preserve">A legume row gives a second harvest and can feed the soil for next season.</t>
  </si>
  <si>
    <t xml:space="preserve">mixed</t>
  </si>
  <si>
    <t xml:space="preserve">Water</t>
  </si>
  <si>
    <t xml:space="preserve">Dry spells are common. Water kept in the soil can save the harvest.</t>
  </si>
  <si>
    <t xml:space="preserve">water</t>
  </si>
  <si>
    <t xml:space="preserve">Storage</t>
  </si>
  <si>
    <t xml:space="preserve">Weevils and damp can destroy a good harvest after it leaves the field.</t>
  </si>
  <si>
    <t xml:space="preserve">storage</t>
  </si>
  <si>
    <t xml:space="preserve">id</t>
  </si>
  <si>
    <t xml:space="preserve">step_order</t>
  </si>
  <si>
    <t xml:space="preserve">action</t>
  </si>
  <si>
    <t xml:space="preserve">action_icon</t>
  </si>
  <si>
    <t xml:space="preserve">title</t>
  </si>
  <si>
    <t xml:space="preserve">farmer_summary</t>
  </si>
  <si>
    <t xml:space="preserve">fun_fact</t>
  </si>
  <si>
    <t xml:space="preserve">key_number</t>
  </si>
  <si>
    <t xml:space="preserve">applies_when</t>
  </si>
  <si>
    <t xml:space="preserve">status</t>
  </si>
  <si>
    <t xml:space="preserve">owner</t>
  </si>
  <si>
    <t xml:space="preserve">last_checked</t>
  </si>
  <si>
    <t xml:space="preserve">still_to_find</t>
  </si>
  <si>
    <t xml:space="preserve">research_notes</t>
  </si>
  <si>
    <t xml:space="preserve">sources</t>
  </si>
  <si>
    <t xml:space="preserve">checked_sources</t>
  </si>
  <si>
    <t xml:space="preserve">ready_to_go_live</t>
  </si>
  <si>
    <t xml:space="preserve">plant-02</t>
  </si>
  <si>
    <t xml:space="preserve">Prepare the field before the rains</t>
  </si>
  <si>
    <t xml:space="preserve">terrain</t>
  </si>
  <si>
    <t xml:space="preserve">Get the field ready early</t>
  </si>
  <si>
    <t xml:space="preserve">Clearing and ridging before the rains lets you plant as soon as the soil is wet.</t>
  </si>
  <si>
    <t xml:space="preserve">all farms</t>
  </si>
  <si>
    <t xml:space="preserve">Evidence that early land preparation helps farmers plant on time in Malawi.</t>
  </si>
  <si>
    <t xml:space="preserve">plant-03</t>
  </si>
  <si>
    <t xml:space="preserve">Wait until the soil is wet a hand deep</t>
  </si>
  <si>
    <t xml:space="preserve">rain</t>
  </si>
  <si>
    <t xml:space="preserve">Wait for enough moisture</t>
  </si>
  <si>
    <t xml:space="preserve">Seed planted in dry soil can fail to come up if the rain stops again.</t>
  </si>
  <si>
    <t xml:space="preserve">Local guidance on how much rain or soil moisture is needed before planting.</t>
  </si>
  <si>
    <t xml:space="preserve">plant-01</t>
  </si>
  <si>
    <t xml:space="preserve">Plant within a week of the first good rains</t>
  </si>
  <si>
    <t xml:space="preserve">Plant with the first good rains</t>
  </si>
  <si>
    <t xml:space="preserve">Maize planted when the soil is wet after the first good rains uses the whole rainy season. Planting late shortens the season.</t>
  </si>
  <si>
    <t xml:space="preserve">Yield lost per week of late planting in Malawi trials.</t>
  </si>
  <si>
    <t xml:space="preserve">fert-01</t>
  </si>
  <si>
    <t xml:space="preserve">Put basal fertilizer in at planting</t>
  </si>
  <si>
    <t xml:space="preserve">fert</t>
  </si>
  <si>
    <t xml:space="preserve">How much fertilizer for maize</t>
  </si>
  <si>
    <t xml:space="preserve">Most advice is a basal fertilizer at planting and urea top-dressing a few weeks later.</t>
  </si>
  <si>
    <t xml:space="preserve">Malawi recommended rates per acre and the yield response at each rate.</t>
  </si>
  <si>
    <t xml:space="preserve">fert-02</t>
  </si>
  <si>
    <t xml:space="preserve">Top-dress with urea a few weeks later</t>
  </si>
  <si>
    <t xml:space="preserve">cal</t>
  </si>
  <si>
    <t xml:space="preserve">Top-dress when the crop grows fast</t>
  </si>
  <si>
    <t xml:space="preserve">Urea given a few weeks after planting feeds the crop when it needs nitrogen most.</t>
  </si>
  <si>
    <t xml:space="preserve">Recommended timing of top-dressing, in weeks after planting.</t>
  </si>
  <si>
    <t xml:space="preserve">fert-03</t>
  </si>
  <si>
    <t xml:space="preserve">Place it near the plant and cover it</t>
  </si>
  <si>
    <t xml:space="preserve">check</t>
  </si>
  <si>
    <t xml:space="preserve">Put fertilizer where the roots are</t>
  </si>
  <si>
    <t xml:space="preserve">Fertilizer placed close to the plant and covered with soil is used better and washes away less.</t>
  </si>
  <si>
    <t xml:space="preserve">Placement method recommended in Malawi and its effect on yield.</t>
  </si>
  <si>
    <t xml:space="preserve">seed-01</t>
  </si>
  <si>
    <t xml:space="preserve">Buy certified seed from an agro-dealer</t>
  </si>
  <si>
    <t xml:space="preserve">coin</t>
  </si>
  <si>
    <t xml:space="preserve">Hybrid seed and local seed</t>
  </si>
  <si>
    <t xml:space="preserve">Hybrid seed usually yields more than local seed, but it must be bought new each season.</t>
  </si>
  <si>
    <t xml:space="preserve">Yield difference on farmers' fields, and what happens with recycled hybrid seed.</t>
  </si>
  <si>
    <t xml:space="preserve">seed-02</t>
  </si>
  <si>
    <t xml:space="preserve">Don't replant seed saved from a hybrid crop</t>
  </si>
  <si>
    <t xml:space="preserve">alert</t>
  </si>
  <si>
    <t xml:space="preserve">Don't replant hybrid seed</t>
  </si>
  <si>
    <t xml:space="preserve">Seed saved from a hybrid crop gives a weaker crop the next season.</t>
  </si>
  <si>
    <t xml:space="preserve">Yield of recycled hybrid seed compared with fresh seed.</t>
  </si>
  <si>
    <t xml:space="preserve">seed-03</t>
  </si>
  <si>
    <t xml:space="preserve">Compare the seed price with the extra bags</t>
  </si>
  <si>
    <t xml:space="preserve">bag</t>
  </si>
  <si>
    <t xml:space="preserve">Compare cost and benefit</t>
  </si>
  <si>
    <t xml:space="preserve">Hybrid seed costs more, so it pays when the extra harvest is worth more than the seed.</t>
  </si>
  <si>
    <t xml:space="preserve">Hybrid seed price and typical extra yield, to estimate the payoff.</t>
  </si>
  <si>
    <t xml:space="preserve">soil-02</t>
  </si>
  <si>
    <t xml:space="preserve">Add compost or manure before planting</t>
  </si>
  <si>
    <t xml:space="preserve">leaf</t>
  </si>
  <si>
    <t xml:space="preserve">Compost and manure</t>
  </si>
  <si>
    <t xml:space="preserve">Compost and animal manure add nutrients and help the soil hold water.</t>
  </si>
  <si>
    <t xml:space="preserve">Yield effect alone and when combined with a smaller amount of fertilizer.</t>
  </si>
  <si>
    <t xml:space="preserve">soil-03</t>
  </si>
  <si>
    <t xml:space="preserve">Leave crop residue on the field</t>
  </si>
  <si>
    <t xml:space="preserve">zone</t>
  </si>
  <si>
    <t xml:space="preserve">Keep crop residue on the field</t>
  </si>
  <si>
    <t xml:space="preserve">Leaving maize stalks and leaves on the field adds organic matter and protects the soil.</t>
  </si>
  <si>
    <t xml:space="preserve">Effect of keeping residue on soil and yield in Malawi.</t>
  </si>
  <si>
    <t xml:space="preserve">soil-01</t>
  </si>
  <si>
    <t xml:space="preserve">Ask for a soil test before using lime</t>
  </si>
  <si>
    <t xml:space="preserve">info</t>
  </si>
  <si>
    <t xml:space="preserve">Soil quality and harvest</t>
  </si>
  <si>
    <t xml:space="preserve">Poor or acidic soil limits how much of the fertilizer the crop can use.</t>
  </si>
  <si>
    <t xml:space="preserve">How soil organic matter and pH relate to maize yield in Malawi, and the effect of lime.</t>
  </si>
  <si>
    <t xml:space="preserve">mix-01</t>
  </si>
  <si>
    <t xml:space="preserve">Plant pigeon peas, beans or groundnuts between maize rows</t>
  </si>
  <si>
    <t xml:space="preserve">Maize with legumes</t>
  </si>
  <si>
    <t xml:space="preserve">Growing pigeon peas, beans or groundnuts with maize gives a second harvest and can feed the soil.</t>
  </si>
  <si>
    <t xml:space="preserve">mixed fields</t>
  </si>
  <si>
    <t xml:space="preserve">Effect on maize bags per hectare and on total harvest from the field.</t>
  </si>
  <si>
    <t xml:space="preserve">mix-02</t>
  </si>
  <si>
    <t xml:space="preserve">Expect a little less maize, plus a second crop</t>
  </si>
  <si>
    <t xml:space="preserve">What to expect from mixing</t>
  </si>
  <si>
    <t xml:space="preserve">Mixed fields usually give a little less maize, plus a second crop to eat or sell.</t>
  </si>
  <si>
    <t xml:space="preserve">Maize and legume yields in mixed fields compared with maize alone.</t>
  </si>
  <si>
    <t xml:space="preserve">mix-03</t>
  </si>
  <si>
    <t xml:space="preserve">Rotate where you plant them next season</t>
  </si>
  <si>
    <t xml:space="preserve">Rotate the legume</t>
  </si>
  <si>
    <t xml:space="preserve">Moving the legume to a different part of the field each season spreads the soil benefit.</t>
  </si>
  <si>
    <t xml:space="preserve">Benefit of legume rotation for the next maize crop.</t>
  </si>
  <si>
    <t xml:space="preserve">water-01</t>
  </si>
  <si>
    <t xml:space="preserve">Cover the soil with crop residue</t>
  </si>
  <si>
    <t xml:space="preserve">Keeping water in the soil</t>
  </si>
  <si>
    <t xml:space="preserve">Mulching, tied ridges and pit planting keep rain in the field during dry spells.</t>
  </si>
  <si>
    <t xml:space="preserve">Yield effect in dry seasons and labour needed.</t>
  </si>
  <si>
    <t xml:space="preserve">water-02</t>
  </si>
  <si>
    <t xml:space="preserve">Build ridges with ties across the slope</t>
  </si>
  <si>
    <t xml:space="preserve">Tied ridges</t>
  </si>
  <si>
    <t xml:space="preserve">Small earth ties across the ridges hold rainwater so it soaks in instead of running off.</t>
  </si>
  <si>
    <t xml:space="preserve">Yield effect of tied ridges in dry seasons.</t>
  </si>
  <si>
    <t xml:space="preserve">water-03</t>
  </si>
  <si>
    <t xml:space="preserve">Dig planting pits on dry or sandy land</t>
  </si>
  <si>
    <t xml:space="preserve">Planting pits</t>
  </si>
  <si>
    <t xml:space="preserve">Pits around the planting station collect water and manure where the roots grow.</t>
  </si>
  <si>
    <t xml:space="preserve">Yield effect and labour of planting pits in Malawi.</t>
  </si>
  <si>
    <t xml:space="preserve">store-02</t>
  </si>
  <si>
    <t xml:space="preserve">Dry the grain until it cracks when bitten</t>
  </si>
  <si>
    <t xml:space="preserve">Dry the grain well</t>
  </si>
  <si>
    <t xml:space="preserve">Grain stored wet goes mouldy. Dry it until it cracks when bitten.</t>
  </si>
  <si>
    <t xml:space="preserve">Safe moisture level for stored maize.</t>
  </si>
  <si>
    <t xml:space="preserve">store-01</t>
  </si>
  <si>
    <t xml:space="preserve">Store it in a sealed (hermetic) bag</t>
  </si>
  <si>
    <t xml:space="preserve">Storing maize safely</t>
  </si>
  <si>
    <t xml:space="preserve">Dry the grain well and store it in hermetic bags off the floor to reduce weevil losses.</t>
  </si>
  <si>
    <t xml:space="preserve">Storage losses with and without hermetic bags.</t>
  </si>
  <si>
    <t xml:space="preserve">store-03</t>
  </si>
  <si>
    <t xml:space="preserve">Keep bags off the floor and away from walls</t>
  </si>
  <si>
    <t xml:space="preserve">home</t>
  </si>
  <si>
    <t xml:space="preserve">Store off the floor</t>
  </si>
  <si>
    <t xml:space="preserve">Bags on the floor or against walls take up damp and are easy for pests to reach.</t>
  </si>
  <si>
    <t xml:space="preserve">Storage losses with and without raised storage.</t>
  </si>
  <si>
    <t xml:space="preserve">source_id</t>
  </si>
  <si>
    <t xml:space="preserve">fact_id</t>
  </si>
  <si>
    <t xml:space="preserve">publisher</t>
  </si>
  <si>
    <t xml:space="preserve">year</t>
  </si>
  <si>
    <t xml:space="preserve">url</t>
  </si>
  <si>
    <t xml:space="preserve">finding</t>
  </si>
  <si>
    <t xml:space="preserve">evidence_type</t>
  </si>
  <si>
    <t xml:space="preserve">region</t>
  </si>
  <si>
    <t xml:space="preserve">checked_by</t>
  </si>
  <si>
    <t xml:space="preserve">checked_on</t>
  </si>
  <si>
    <t xml:space="preserve">link_check</t>
  </si>
  <si>
    <t xml:space="preserve">src-001</t>
  </si>
  <si>
    <t xml:space="preserve">The unquantified cost of delay in African maize systems: an evidence gap for policy</t>
  </si>
  <si>
    <t xml:space="preserve">Frontiers in Agronomy</t>
  </si>
  <si>
    <t xml:space="preserve">2026</t>
  </si>
  <si>
    <t xml:space="preserve">https://www.frontiersin.org/journals/agronomy/articles/10.3389/fagro.2026.1861579/full</t>
  </si>
  <si>
    <t xml:space="preserve">src-002</t>
  </si>
  <si>
    <t xml:space="preserve">Planting date and yield benefits from conservation agriculture practices across Southern Africa</t>
  </si>
  <si>
    <t xml:space="preserve">Agricultural Systems</t>
  </si>
  <si>
    <t xml:space="preserve">https://www.sciencedirect.com/science/article/abs/pii/S0308521X16305613</t>
  </si>
  <si>
    <t xml:space="preserve">src-003</t>
  </si>
  <si>
    <t xml:space="preserve">Studies on maize at Bunda, Malawi. I. Yield in relation to rainfall</t>
  </si>
  <si>
    <t xml:space="preserve">Experimental Agriculture</t>
  </si>
  <si>
    <t xml:space="preserve">https://resolve.cambridge.org/core/journals/experimental-agriculture/article/studies-on-maize-zea-mays-at-bunda-malawi-i-yield-in-relation-to-rainfall/1CE471FACF040E308942550F72275522</t>
  </si>
  <si>
    <t xml:space="preserve">src-004</t>
  </si>
  <si>
    <t xml:space="preserve">Maize Yield Response to Nitrogen in Malawi's Smallholder Production Systems</t>
  </si>
  <si>
    <t xml:space="preserve">IFPRI / CGSpace</t>
  </si>
  <si>
    <t xml:space="preserve">https://cgspace.cgiar.org/server/api/core/bitstreams/d32adc22-19f0-4e3a-92ca-61ca0afc67a8/content</t>
  </si>
  <si>
    <t xml:space="preserve">src-005</t>
  </si>
  <si>
    <t xml:space="preserve">Optimizing Fertilizer Use within the Context of Integrated Soil Fertility Management in Malawi</t>
  </si>
  <si>
    <t xml:space="preserve">OFRA handbook, Chapter 9</t>
  </si>
  <si>
    <t xml:space="preserve">https://agronomy.unl.edu/sites/unl.edu.ianr.agronomy-horticulture/files/media/file/OFRA%20Chapter%209_Malawi_HR.pdf</t>
  </si>
  <si>
    <t xml:space="preserve">src-006</t>
  </si>
  <si>
    <t xml:space="preserve">An in-depth examination of maize yield response to fertilizer in Central Malawi reveals low profits and too many weeds</t>
  </si>
  <si>
    <t xml:space="preserve">Research article</t>
  </si>
  <si>
    <t xml:space="preserve">https://www.researchgate.net/publication/344047279_An_in-depth_examination_of_maize_yield_response_to_fertilizer_in_Central_Malawi_reveals_low_profits_and_too_many_weeds</t>
  </si>
  <si>
    <t xml:space="preserve">src-007</t>
  </si>
  <si>
    <t xml:space="preserve">National Fertiliser Policy</t>
  </si>
  <si>
    <t xml:space="preserve">Government of Malawi, Ministry of Agriculture</t>
  </si>
  <si>
    <t xml:space="preserve">https://npc.mw/wp-content/uploads/2023/10/2021.03-National-Fertiliser-Policy-signed.pdf</t>
  </si>
  <si>
    <t xml:space="preserve">src-008</t>
  </si>
  <si>
    <t xml:space="preserve">Can Adoption of Improved Maize Varieties Help Smallholder Farmers Adapt to Drought? Evidence from Malawi</t>
  </si>
  <si>
    <t xml:space="preserve">https://www.researchgate.net/publication/272086269_Can_Adoption_of_Improved_Maize_Varieties_Help_Smallholder_Farmers_Adapt_to_Drought_Evidence_from_Malawi</t>
  </si>
  <si>
    <t xml:space="preserve">src-009</t>
  </si>
  <si>
    <t xml:space="preserve">Adoption of fertiliser and hybrid seeds by smallholder maize farmers in Southern Malawi</t>
  </si>
  <si>
    <t xml:space="preserve">Development Southern Africa</t>
  </si>
  <si>
    <t xml:space="preserve">https://www.tandfonline.com/doi/full/10.1080/03768350500044065</t>
  </si>
  <si>
    <t xml:space="preserve">src-010</t>
  </si>
  <si>
    <t xml:space="preserve">Seed sector functioning and the adoption of improved varieties: Malawi study report</t>
  </si>
  <si>
    <t xml:space="preserve">KIT Royal Tropical Institute</t>
  </si>
  <si>
    <t xml:space="preserve">https://www.kit.nl/wp-content/uploads/2019/03/Malawi-Study-Report.pdf</t>
  </si>
  <si>
    <t xml:space="preserve">src-011</t>
  </si>
  <si>
    <t xml:space="preserve">Soil nutrient status of smallholder farms in Malawi</t>
  </si>
  <si>
    <t xml:space="preserve">Communications in Soil Science and Plant Analysis</t>
  </si>
  <si>
    <t xml:space="preserve">https://www.tandfonline.com/doi/abs/10.1080/00103629809370135</t>
  </si>
  <si>
    <t xml:space="preserve">src-012</t>
  </si>
  <si>
    <t xml:space="preserve">Potential of reduced agricultural lime application rates to increase yield and profitability of maize through microdosing in central Malawi</t>
  </si>
  <si>
    <t xml:space="preserve">African Journal of Agricultural Research</t>
  </si>
  <si>
    <t xml:space="preserve">https://academicjournals.org/journal/AJAR/article-full-text/A317EA763817</t>
  </si>
  <si>
    <t xml:space="preserve">src-013</t>
  </si>
  <si>
    <t xml:space="preserve">Book of Abstracts on ISFM Technologies in Malawi</t>
  </si>
  <si>
    <t xml:space="preserve">African Plant Nutrition Institute</t>
  </si>
  <si>
    <t xml:space="preserve">https://www.apni.net/wp-content/uploads/2020/04/ISFM-Book-of-Abstracts-Malawi.pdf</t>
  </si>
  <si>
    <t xml:space="preserve">src-014</t>
  </si>
  <si>
    <t xml:space="preserve">Biodiversity can support a greener revolution in Africa</t>
  </si>
  <si>
    <t xml:space="preserve">PNAS</t>
  </si>
  <si>
    <t xml:space="preserve">2010</t>
  </si>
  <si>
    <t xml:space="preserve">https://www.pnas.org/doi/10.1073/pnas.1007199107</t>
  </si>
  <si>
    <t xml:space="preserve">src-015</t>
  </si>
  <si>
    <t xml:space="preserve">Productivity and profitability of maize-legume cropping systems under conservation agriculture among smallholder farmers in Malawi</t>
  </si>
  <si>
    <t xml:space="preserve">Acta Agriculturae Scandinavica</t>
  </si>
  <si>
    <t xml:space="preserve">https://www.tandfonline.com/doi/full/10.1080/09064710.2020.1712470</t>
  </si>
  <si>
    <t xml:space="preserve">src-016</t>
  </si>
  <si>
    <t xml:space="preserve">Opportunities and constraints to legume diversification for sustainable maize production on smallholder farms in Malawi</t>
  </si>
  <si>
    <t xml:space="preserve">Renewable Agriculture and Food Systems</t>
  </si>
  <si>
    <t xml:space="preserve">https://www.cambridge.org/core/journals/renewable-agriculture-and-food-systems/article/abs/opportunities-and-constraints-to-legume-diversification-for-sustainable-maize-production-on-smallholder-farms-in-malawi/B4B3E45A545A82C7AEA3640584D0E484</t>
  </si>
  <si>
    <t xml:space="preserve">src-017</t>
  </si>
  <si>
    <t xml:space="preserve">Can smallholder farmers buffer rainfall variability through conservation agriculture? On-farm practices and maize yields in Kenya and Malawi</t>
  </si>
  <si>
    <t xml:space="preserve">Environmental Research Letters</t>
  </si>
  <si>
    <t xml:space="preserve">https://iopscience.iop.org/article/10.1088/1748-9326/ab45ad</t>
  </si>
  <si>
    <t xml:space="preserve">src-018</t>
  </si>
  <si>
    <t xml:space="preserve">Impacts of conservation agriculture on soil structure and hydraulic properties of Malawian agricultural systems</t>
  </si>
  <si>
    <t xml:space="preserve">Soil and Tillage Research (open access)</t>
  </si>
  <si>
    <t xml:space="preserve">https://pmc.ncbi.nlm.nih.gov/articles/PMC7233133</t>
  </si>
  <si>
    <t xml:space="preserve">src-019</t>
  </si>
  <si>
    <t xml:space="preserve">Conservation agriculture systems for Malawian smallholder farmers: long-term effects on crop productivity, profitability and soil quality</t>
  </si>
  <si>
    <t xml:space="preserve">https://www.cambridge.org/core/journals/renewable-agriculture-and-food-systems/article/conservation-agriculture-systems-for-malawian-smallholder-farmers-longterm-effects-on-crop-productivity-profitability-and-soil-quality/8D96B9B89D8FA0F2F3ADBFDE5F8FE776</t>
  </si>
  <si>
    <t xml:space="preserve">src-020</t>
  </si>
  <si>
    <t xml:space="preserve">Grain Hermetic Storage and Post-Harvest Loss Reduction in Sub-Saharan Africa</t>
  </si>
  <si>
    <t xml:space="preserve">Journal of Biosystems Engineering</t>
  </si>
  <si>
    <t xml:space="preserve">https://link.springer.com/article/10.1007/s42853-022-00130-4</t>
  </si>
  <si>
    <t xml:space="preserve">src-021</t>
  </si>
  <si>
    <t xml:space="preserve">Impact of storage environment on the efficacy of hermetic storage bags</t>
  </si>
  <si>
    <t xml:space="preserve">Journal of Stored Products Research (open access)</t>
  </si>
  <si>
    <t xml:space="preserve">https://pmc.ncbi.nlm.nih.gov/articles/PMC5476195/</t>
  </si>
  <si>
    <t xml:space="preserve">src-022</t>
  </si>
  <si>
    <t xml:space="preserve">Field efficacy of hermetic and other maize grain storage options under smallholder farmer management</t>
  </si>
  <si>
    <t xml:space="preserve">https://www.researchgate.net/publication/316112963_Field_efficacy_of_hermetic_and_other_maize_grain_storage_options_under_smallholder_farmer_management</t>
  </si>
  <si>
    <t xml:space="preserve">stage_id</t>
  </si>
  <si>
    <t xml:space="preserve">name</t>
  </si>
  <si>
    <t xml:space="preserve">tip</t>
  </si>
  <si>
    <t xml:space="preserve">weeks_from</t>
  </si>
  <si>
    <t xml:space="preserve">weeks_to</t>
  </si>
  <si>
    <t xml:space="preserve">prep</t>
  </si>
  <si>
    <t xml:space="preserve">Prepare the field</t>
  </si>
  <si>
    <t xml:space="preserve">Clear the land, make ridges and add compost or manure.</t>
  </si>
  <si>
    <t xml:space="preserve">plant</t>
  </si>
  <si>
    <t xml:space="preserve">Plant when the soil is wet a hand deep.</t>
  </si>
  <si>
    <t xml:space="preserve">basal</t>
  </si>
  <si>
    <t xml:space="preserve">Put in basal fertilizer</t>
  </si>
  <si>
    <t xml:space="preserve">(depends on the farmer's plan) Use part of your fertilizer at planting, close to the seed and covered.</t>
  </si>
  <si>
    <t xml:space="preserve">The app personalises this tip with the farmer's planned bags of fertilizer.</t>
  </si>
  <si>
    <t xml:space="preserve">legume</t>
  </si>
  <si>
    <t xml:space="preserve">Plant the legume between rows</t>
  </si>
  <si>
    <t xml:space="preserve">Pigeon peas, beans or groundnuts.</t>
  </si>
  <si>
    <t xml:space="preserve">weed1</t>
  </si>
  <si>
    <t xml:space="preserve">First weeding</t>
  </si>
  <si>
    <t xml:space="preserve">Weeds take water and food from young maize.</t>
  </si>
  <si>
    <t xml:space="preserve">top</t>
  </si>
  <si>
    <t xml:space="preserve">Top-dress with urea</t>
  </si>
  <si>
    <t xml:space="preserve">Put it near each plant when the soil is moist, then cover it.</t>
  </si>
  <si>
    <t xml:space="preserve">weed2</t>
  </si>
  <si>
    <t xml:space="preserve">Second weeding</t>
  </si>
  <si>
    <t xml:space="preserve">Keep the field clean until the maize is tall.</t>
  </si>
  <si>
    <t xml:space="preserve">harvest</t>
  </si>
  <si>
    <t xml:space="preserve">Harvest when the cobs are dry</t>
  </si>
  <si>
    <t xml:space="preserve">The husks turn brown and the cobs hang down.</t>
  </si>
  <si>
    <t xml:space="preserve">store</t>
  </si>
  <si>
    <t xml:space="preserve">Dry and store the grain</t>
  </si>
  <si>
    <t xml:space="preserve">Dry until the grain cracks when bitten, then store in a sealed bag.</t>
  </si>
  <si>
    <t xml:space="preserve">question</t>
  </si>
  <si>
    <t xml:space="preserve">show</t>
  </si>
  <si>
    <t xml:space="preserve">How much fertilizer should I use?</t>
  </si>
  <si>
    <t xml:space="preserve">Is there a cheaper option than fertilizer?</t>
  </si>
  <si>
    <t xml:space="preserve">Is hybrid seed worth it?</t>
  </si>
  <si>
    <t xml:space="preserve">When should I plant?</t>
  </si>
  <si>
    <t xml:space="preserve">How can I improve my soil?</t>
  </si>
  <si>
    <t xml:space="preserve">Should I grow legumes with my maize?</t>
  </si>
  <si>
    <t xml:space="preserve">What if the rains are poor?</t>
  </si>
  <si>
    <t xml:space="preserve">How do I store maize safely?</t>
  </si>
  <si>
    <t xml:space="preserve">yes_no</t>
  </si>
  <si>
    <t xml:space="preserve">icon</t>
  </si>
  <si>
    <t xml:space="preserve">research study</t>
  </si>
  <si>
    <t xml:space="preserve">Malawi</t>
  </si>
  <si>
    <t xml:space="preserve">government guide</t>
  </si>
  <si>
    <t xml:space="preserve">Southern Africa</t>
  </si>
  <si>
    <t xml:space="preserve">maize only</t>
  </si>
  <si>
    <t xml:space="preserve">NGO or extension guide</t>
  </si>
  <si>
    <t xml:space="preserve">Sub-Saharan Africa</t>
  </si>
  <si>
    <t xml:space="preserve">uses fertilizer</t>
  </si>
  <si>
    <t xml:space="preserve">dataset</t>
  </si>
  <si>
    <t xml:space="preserve">Global</t>
  </si>
  <si>
    <t xml:space="preserve">no fertilizer</t>
  </si>
  <si>
    <t xml:space="preserve">expert interview</t>
  </si>
  <si>
    <t xml:space="preserve">sandy soil</t>
  </si>
  <si>
    <t xml:space="preserve">acidic soil</t>
  </si>
  <si>
    <t xml:space="preserve">dry season outlook</t>
  </si>
  <si>
    <t xml:space="preserve">target</t>
  </si>
  <si>
    <t xml:space="preserve">bulb</t>
  </si>
  <si>
    <t xml:space="preserve">book</t>
  </si>
  <si>
    <t xml:space="preserve">pin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</si>
</sst>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5F6B5C"/>
        <bgColor rgb="FF808080"/>
      </patternFill>
    </fill>
    <fill>
      <patternFill patternType="solid">
        <fgColor rgb="FF9A4A06"/>
        <bgColor rgb="FF993366"/>
      </patternFill>
    </fill>
    <fill>
      <patternFill patternType="solid">
        <fgColor rgb="FFF2F2F2"/>
        <bgColor rgb="FFE8F5E9"/>
      </patternFill>
    </fill>
    <fill>
      <patternFill patternType="solid">
        <fgColor rgb="FFBFBFBF"/>
        <bgColor rgb="FFD3D9C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9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5F6B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A4A06"/>
          <bgColor rgb="FF000000"/>
        </patternFill>
      </fill>
    </dxf>
    <dxf>
      <fill>
        <patternFill>
          <bgColor rgb="FFFFE0B2"/>
        </patternFill>
      </fill>
    </dxf>
    <dxf>
      <fill>
        <patternFill>
          <bgColor rgb="FFFDECEA"/>
        </patternFill>
      </fill>
    </dxf>
    <dxf>
      <fill>
        <patternFill>
          <bgColor rgb="FFE8F5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F5E9"/>
      <rgbColor rgb="FF660066"/>
      <rgbColor rgb="FFFF8080"/>
      <rgbColor rgb="FF0066CC"/>
      <rgbColor rgb="FFD3D9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5F6B5C"/>
      <rgbColor rgb="FF969696"/>
      <rgbColor rgb="FF003366"/>
      <rgbColor rgb="FF339966"/>
      <rgbColor rgb="FF003300"/>
      <rgbColor rgb="FF333300"/>
      <rgbColor rgb="FF9A4A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35.8" hidden="false" customHeight="false" outlineLevel="0" collapsed="false">
      <c r="A1" s="1" t="s">
        <v>0</v>
      </c>
      <c r="B1" s="1"/>
    </row>
    <row r="2" customFormat="false" ht="23.85" hidden="false" customHeight="false" outlineLevel="0" collapsed="false">
      <c r="A2" s="2" t="s">
        <v>1</v>
      </c>
      <c r="B2" s="2" t="s">
        <v>2</v>
      </c>
    </row>
    <row r="4" customFormat="false" ht="15" hidden="false" customHeight="false" outlineLevel="0" collapsed="false">
      <c r="A4" s="3" t="s">
        <v>3</v>
      </c>
      <c r="B4" s="3"/>
    </row>
    <row r="5" customFormat="false" ht="15" hidden="false" customHeight="false" outlineLevel="0" collapsed="false">
      <c r="A5" s="2" t="s">
        <v>4</v>
      </c>
      <c r="B5" s="2" t="s">
        <v>5</v>
      </c>
    </row>
    <row r="6" customFormat="false" ht="15" hidden="false" customHeight="false" outlineLevel="0" collapsed="false">
      <c r="A6" s="2" t="s">
        <v>6</v>
      </c>
      <c r="B6" s="2" t="s">
        <v>7</v>
      </c>
    </row>
    <row r="7" customFormat="false" ht="15" hidden="false" customHeight="false" outlineLevel="0" collapsed="false">
      <c r="A7" s="2" t="s">
        <v>8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9" customFormat="false" ht="15" hidden="false" customHeight="false" outlineLevel="0" collapsed="false">
      <c r="A9" s="2" t="s">
        <v>12</v>
      </c>
      <c r="B9" s="2" t="s">
        <v>13</v>
      </c>
    </row>
    <row r="11" customFormat="false" ht="15" hidden="false" customHeight="false" outlineLevel="0" collapsed="false">
      <c r="A11" s="3" t="s">
        <v>14</v>
      </c>
      <c r="B11" s="3"/>
    </row>
    <row r="12" customFormat="false" ht="15" hidden="false" customHeight="false" outlineLevel="0" collapsed="false">
      <c r="A12" s="4" t="s">
        <v>15</v>
      </c>
      <c r="B12" s="4" t="s">
        <v>16</v>
      </c>
    </row>
    <row r="13" customFormat="false" ht="15" hidden="false" customHeight="false" outlineLevel="0" collapsed="false">
      <c r="A13" s="5" t="s">
        <v>17</v>
      </c>
      <c r="B13" s="5" t="s">
        <v>18</v>
      </c>
    </row>
    <row r="14" customFormat="false" ht="15" hidden="false" customHeight="false" outlineLevel="0" collapsed="false">
      <c r="A14" s="6" t="s">
        <v>19</v>
      </c>
      <c r="B14" s="6" t="s">
        <v>20</v>
      </c>
    </row>
    <row r="15" customFormat="false" ht="15" hidden="false" customHeight="false" outlineLevel="0" collapsed="false">
      <c r="A15" s="7" t="s">
        <v>21</v>
      </c>
      <c r="B15" s="7" t="s">
        <v>22</v>
      </c>
    </row>
    <row r="16" customFormat="false" ht="15" hidden="false" customHeight="false" outlineLevel="0" collapsed="false">
      <c r="A16" s="2" t="s">
        <v>23</v>
      </c>
      <c r="B16" s="2" t="s">
        <v>24</v>
      </c>
    </row>
    <row r="18" customFormat="false" ht="15" hidden="false" customHeight="false" outlineLevel="0" collapsed="false">
      <c r="A18" s="3" t="s">
        <v>25</v>
      </c>
      <c r="B18" s="3"/>
    </row>
    <row r="19" customFormat="false" ht="15" hidden="false" customHeight="false" outlineLevel="0" collapsed="false">
      <c r="A19" s="2" t="s">
        <v>26</v>
      </c>
      <c r="B19" s="2" t="s">
        <v>27</v>
      </c>
    </row>
    <row r="20" customFormat="false" ht="15" hidden="false" customHeight="false" outlineLevel="0" collapsed="false">
      <c r="A20" s="2" t="s">
        <v>28</v>
      </c>
      <c r="B20" s="2" t="s">
        <v>29</v>
      </c>
    </row>
    <row r="21" customFormat="false" ht="15" hidden="false" customHeight="false" outlineLevel="0" collapsed="false">
      <c r="A21" s="2" t="s">
        <v>30</v>
      </c>
      <c r="B21" s="2" t="s">
        <v>31</v>
      </c>
    </row>
    <row r="22" customFormat="false" ht="15" hidden="false" customHeight="false" outlineLevel="0" collapsed="false">
      <c r="A22" s="2" t="s">
        <v>32</v>
      </c>
      <c r="B22" s="2" t="s">
        <v>33</v>
      </c>
    </row>
    <row r="23" customFormat="false" ht="15" hidden="false" customHeight="false" outlineLevel="0" collapsed="false">
      <c r="A23" s="2" t="s">
        <v>34</v>
      </c>
      <c r="B23" s="2" t="s">
        <v>35</v>
      </c>
    </row>
    <row r="24" customFormat="false" ht="15" hidden="false" customHeight="false" outlineLevel="0" collapsed="false">
      <c r="A24" s="2" t="s">
        <v>36</v>
      </c>
      <c r="B24" s="2" t="s">
        <v>37</v>
      </c>
    </row>
    <row r="25" customFormat="false" ht="15" hidden="false" customHeight="false" outlineLevel="0" collapsed="false">
      <c r="A25" s="2" t="s">
        <v>38</v>
      </c>
      <c r="B25" s="2" t="s">
        <v>39</v>
      </c>
    </row>
    <row r="27" customFormat="false" ht="15" hidden="false" customHeight="false" outlineLevel="0" collapsed="false">
      <c r="A27" s="3" t="s">
        <v>40</v>
      </c>
      <c r="B27" s="3"/>
    </row>
    <row r="28" customFormat="false" ht="15" hidden="false" customHeight="false" outlineLevel="0" collapsed="false">
      <c r="A28" s="2" t="s">
        <v>41</v>
      </c>
      <c r="B28" s="2" t="s">
        <v>42</v>
      </c>
    </row>
    <row r="29" customFormat="false" ht="15" hidden="false" customHeight="false" outlineLevel="0" collapsed="false">
      <c r="A29" s="2" t="s">
        <v>43</v>
      </c>
      <c r="B29" s="2" t="s">
        <v>44</v>
      </c>
    </row>
    <row r="30" customFormat="false" ht="15" hidden="false" customHeight="false" outlineLevel="0" collapsed="false">
      <c r="A30" s="2" t="s">
        <v>45</v>
      </c>
      <c r="B30" s="2" t="s">
        <v>46</v>
      </c>
    </row>
    <row r="31" customFormat="false" ht="15" hidden="false" customHeight="false" outlineLevel="0" collapsed="false">
      <c r="A31" s="2" t="s">
        <v>47</v>
      </c>
      <c r="B31" s="2" t="s">
        <v>48</v>
      </c>
    </row>
    <row r="33" customFormat="false" ht="15" hidden="false" customHeight="false" outlineLevel="0" collapsed="false">
      <c r="A33" s="3" t="s">
        <v>49</v>
      </c>
      <c r="B33" s="3"/>
    </row>
    <row r="34" customFormat="false" ht="23.85" hidden="false" customHeight="false" outlineLevel="0" collapsed="false">
      <c r="A34" s="2" t="s">
        <v>50</v>
      </c>
      <c r="B34" s="2" t="s">
        <v>51</v>
      </c>
    </row>
    <row r="35" customFormat="false" ht="23.85" hidden="false" customHeight="false" outlineLevel="0" collapsed="false">
      <c r="A35" s="2" t="s">
        <v>52</v>
      </c>
      <c r="B35" s="2" t="s">
        <v>53</v>
      </c>
    </row>
    <row r="37" customFormat="false" ht="15" hidden="false" customHeight="false" outlineLevel="0" collapsed="false">
      <c r="A37" s="3" t="s">
        <v>54</v>
      </c>
      <c r="B37" s="3"/>
    </row>
    <row r="38" customFormat="false" ht="15" hidden="false" customHeight="false" outlineLevel="0" collapsed="false">
      <c r="A38" s="2" t="s">
        <v>55</v>
      </c>
      <c r="B38" s="8" t="n">
        <f aca="false">COUNTA(Facts!A2:A300)</f>
        <v>21</v>
      </c>
    </row>
    <row r="39" customFormat="false" ht="15" hidden="false" customHeight="false" outlineLevel="0" collapsed="false">
      <c r="A39" s="2" t="s">
        <v>56</v>
      </c>
      <c r="B39" s="8" t="n">
        <f aca="false">COUNTIF(Facts!K2:K300,"live")</f>
        <v>0</v>
      </c>
    </row>
    <row r="40" customFormat="false" ht="15" hidden="false" customHeight="false" outlineLevel="0" collapsed="false">
      <c r="A40" s="2" t="s">
        <v>57</v>
      </c>
      <c r="B40" s="8" t="n">
        <f aca="false">COUNTIF(Facts!R2:R300,"Yes")</f>
        <v>0</v>
      </c>
    </row>
    <row r="41" customFormat="false" ht="15" hidden="false" customHeight="false" outlineLevel="0" collapsed="false">
      <c r="A41" s="2" t="s">
        <v>58</v>
      </c>
      <c r="B41" s="8" t="n">
        <f aca="false">COUNTIFS(Facts!K2:K300,"live",Facts!Q2:Q300,0)</f>
        <v>0</v>
      </c>
    </row>
    <row r="42" customFormat="false" ht="15" hidden="false" customHeight="false" outlineLevel="0" collapsed="false">
      <c r="A42" s="2" t="s">
        <v>59</v>
      </c>
      <c r="B42" s="8" t="n">
        <f aca="false">COUNTIFS(Facts!A2:A300,"&lt;&gt;",Facts!P2:P300,0)</f>
        <v>13</v>
      </c>
    </row>
    <row r="43" customFormat="false" ht="15" hidden="false" customHeight="false" outlineLevel="0" collapsed="false">
      <c r="A43" s="2" t="s">
        <v>60</v>
      </c>
      <c r="B43" s="8" t="n">
        <f aca="false">COUNTA(Sources!A2:A300)</f>
        <v>22</v>
      </c>
    </row>
    <row r="44" customFormat="false" ht="15" hidden="false" customHeight="false" outlineLevel="0" collapsed="false">
      <c r="A44" s="2" t="s">
        <v>61</v>
      </c>
      <c r="B44" s="8" t="n">
        <f aca="false">COUNTIF(Sources!J2:J300,"yes")</f>
        <v>0</v>
      </c>
    </row>
    <row r="45" customFormat="false" ht="15" hidden="false" customHeight="false" outlineLevel="0" collapsed="false">
      <c r="A45" s="2" t="s">
        <v>62</v>
      </c>
      <c r="B45" s="8" t="n">
        <f aca="false">COUNTIF(Sources!N2:N300,"Fact id not found")</f>
        <v>0</v>
      </c>
    </row>
    <row r="46" customFormat="false" ht="15" hidden="false" customHeight="false" outlineLevel="0" collapsed="false">
      <c r="A46" s="2" t="s">
        <v>63</v>
      </c>
      <c r="B46" s="8" t="n">
        <f aca="false">COUNTA('Season stages'!A2:A300)-COUNTIF('Season stages'!L2:L300,"OK")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9" t="s">
        <v>64</v>
      </c>
      <c r="B1" s="9" t="s">
        <v>65</v>
      </c>
      <c r="C1" s="10" t="s">
        <v>66</v>
      </c>
      <c r="D1" s="9" t="s">
        <v>67</v>
      </c>
      <c r="E1" s="9" t="s">
        <v>68</v>
      </c>
      <c r="F1" s="11" t="s">
        <v>69</v>
      </c>
      <c r="G1" s="11" t="s">
        <v>70</v>
      </c>
      <c r="H1" s="12" t="s">
        <v>71</v>
      </c>
    </row>
    <row r="2" customFormat="false" ht="23.85" hidden="false" customHeight="false" outlineLevel="0" collapsed="false">
      <c r="A2" s="13" t="s">
        <v>72</v>
      </c>
      <c r="B2" s="13" t="n">
        <v>1</v>
      </c>
      <c r="C2" s="13" t="s">
        <v>73</v>
      </c>
      <c r="D2" s="13" t="s">
        <v>74</v>
      </c>
      <c r="E2" s="13" t="s">
        <v>75</v>
      </c>
      <c r="F2" s="14" t="n">
        <f aca="false">COUNTIFS(Facts!$B:$B,A2,Facts!$K:$K,"live")</f>
        <v>0</v>
      </c>
      <c r="G2" s="14" t="n">
        <f aca="false">COUNTIF(Facts!$B:$B,A2)</f>
        <v>3</v>
      </c>
      <c r="H2" s="13"/>
    </row>
    <row r="3" customFormat="false" ht="15" hidden="false" customHeight="false" outlineLevel="0" collapsed="false">
      <c r="A3" s="13" t="s">
        <v>76</v>
      </c>
      <c r="B3" s="13" t="n">
        <v>2</v>
      </c>
      <c r="C3" s="13" t="s">
        <v>77</v>
      </c>
      <c r="D3" s="13" t="s">
        <v>78</v>
      </c>
      <c r="E3" s="13" t="s">
        <v>75</v>
      </c>
      <c r="F3" s="14" t="n">
        <f aca="false">COUNTIFS(Facts!$B:$B,A3,Facts!$K:$K,"live")</f>
        <v>0</v>
      </c>
      <c r="G3" s="14" t="n">
        <f aca="false">COUNTIF(Facts!$B:$B,A3)</f>
        <v>3</v>
      </c>
      <c r="H3" s="13"/>
    </row>
    <row r="4" customFormat="false" ht="23.85" hidden="false" customHeight="false" outlineLevel="0" collapsed="false">
      <c r="A4" s="13" t="s">
        <v>79</v>
      </c>
      <c r="B4" s="13" t="n">
        <v>3</v>
      </c>
      <c r="C4" s="13" t="s">
        <v>80</v>
      </c>
      <c r="D4" s="13" t="s">
        <v>81</v>
      </c>
      <c r="E4" s="13" t="s">
        <v>82</v>
      </c>
      <c r="F4" s="14" t="n">
        <f aca="false">COUNTIFS(Facts!$B:$B,A4,Facts!$K:$K,"live")</f>
        <v>0</v>
      </c>
      <c r="G4" s="14" t="n">
        <f aca="false">COUNTIF(Facts!$B:$B,A4)</f>
        <v>3</v>
      </c>
      <c r="H4" s="13"/>
    </row>
    <row r="5" customFormat="false" ht="15" hidden="false" customHeight="false" outlineLevel="0" collapsed="false">
      <c r="A5" s="13" t="s">
        <v>83</v>
      </c>
      <c r="B5" s="13" t="n">
        <v>4</v>
      </c>
      <c r="C5" s="13" t="s">
        <v>84</v>
      </c>
      <c r="D5" s="13" t="s">
        <v>85</v>
      </c>
      <c r="E5" s="13" t="s">
        <v>82</v>
      </c>
      <c r="F5" s="14" t="n">
        <f aca="false">COUNTIFS(Facts!$B:$B,A5,Facts!$K:$K,"live")</f>
        <v>0</v>
      </c>
      <c r="G5" s="14" t="n">
        <f aca="false">COUNTIF(Facts!$B:$B,A5)</f>
        <v>3</v>
      </c>
      <c r="H5" s="13"/>
    </row>
    <row r="6" customFormat="false" ht="23.85" hidden="false" customHeight="false" outlineLevel="0" collapsed="false">
      <c r="A6" s="13" t="s">
        <v>86</v>
      </c>
      <c r="B6" s="13" t="n">
        <v>5</v>
      </c>
      <c r="C6" s="13" t="s">
        <v>87</v>
      </c>
      <c r="D6" s="13" t="s">
        <v>88</v>
      </c>
      <c r="E6" s="13" t="s">
        <v>82</v>
      </c>
      <c r="F6" s="14" t="n">
        <f aca="false">COUNTIFS(Facts!$B:$B,A6,Facts!$K:$K,"live")</f>
        <v>0</v>
      </c>
      <c r="G6" s="14" t="n">
        <f aca="false">COUNTIF(Facts!$B:$B,A6)</f>
        <v>3</v>
      </c>
      <c r="H6" s="13"/>
    </row>
    <row r="7" customFormat="false" ht="15" hidden="false" customHeight="false" outlineLevel="0" collapsed="false">
      <c r="A7" s="13" t="s">
        <v>89</v>
      </c>
      <c r="B7" s="13" t="n">
        <v>6</v>
      </c>
      <c r="C7" s="13" t="s">
        <v>90</v>
      </c>
      <c r="D7" s="13" t="s">
        <v>91</v>
      </c>
      <c r="E7" s="13" t="s">
        <v>82</v>
      </c>
      <c r="F7" s="14" t="n">
        <f aca="false">COUNTIFS(Facts!$B:$B,A7,Facts!$K:$K,"live")</f>
        <v>0</v>
      </c>
      <c r="G7" s="14" t="n">
        <f aca="false">COUNTIF(Facts!$B:$B,A7)</f>
        <v>3</v>
      </c>
      <c r="H7" s="13"/>
    </row>
    <row r="8" customFormat="false" ht="15" hidden="false" customHeight="false" outlineLevel="0" collapsed="false">
      <c r="A8" s="13" t="s">
        <v>92</v>
      </c>
      <c r="B8" s="13" t="n">
        <v>7</v>
      </c>
      <c r="C8" s="13" t="s">
        <v>93</v>
      </c>
      <c r="D8" s="13" t="s">
        <v>94</v>
      </c>
      <c r="E8" s="13" t="s">
        <v>75</v>
      </c>
      <c r="F8" s="14" t="n">
        <f aca="false">COUNTIFS(Facts!$B:$B,A8,Facts!$K:$K,"live")</f>
        <v>0</v>
      </c>
      <c r="G8" s="14" t="n">
        <f aca="false">COUNTIF(Facts!$B:$B,A8)</f>
        <v>3</v>
      </c>
      <c r="H8" s="13"/>
    </row>
  </sheetData>
  <autoFilter ref="A1:H8"/>
  <dataValidations count="2">
    <dataValidation allowBlank="true" error="Pick a value from the dropdown. To add a new option, add it on the Lists tab." errorStyle="stop" errorTitle="Not in the list" operator="between" showDropDown="false" showErrorMessage="true" showInputMessage="false" sqref="D2:D300" type="list">
      <formula1>Lists!$D$2:$D$8</formula1>
      <formula2>0</formula2>
    </dataValidation>
    <dataValidation allowBlank="true" error="Pick a value from the dropdown. To add a new option, add it on the Lists tab." errorStyle="stop" errorTitle="Not in the list" operator="between" showDropDown="false" showErrorMessage="true" showInputMessage="false" sqref="E2:E300" type="list">
      <formula1>Lists!$B$2:$B$3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48"/>
    <col collapsed="false" customWidth="true" hidden="false" outlineLevel="0" max="8" min="8" style="0" width="34"/>
    <col collapsed="false" customWidth="true" hidden="false" outlineLevel="0" max="9" min="9" style="0" width="20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36"/>
    <col collapsed="false" customWidth="true" hidden="false" outlineLevel="0" max="15" min="15" style="0" width="28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2"/>
  </cols>
  <sheetData>
    <row r="1" customFormat="false" ht="31.5" hidden="false" customHeight="true" outlineLevel="0" collapsed="false">
      <c r="A1" s="9" t="s">
        <v>95</v>
      </c>
      <c r="B1" s="9" t="s">
        <v>64</v>
      </c>
      <c r="C1" s="9" t="s">
        <v>96</v>
      </c>
      <c r="D1" s="10" t="s">
        <v>97</v>
      </c>
      <c r="E1" s="9" t="s">
        <v>98</v>
      </c>
      <c r="F1" s="10" t="s">
        <v>99</v>
      </c>
      <c r="G1" s="10" t="s">
        <v>100</v>
      </c>
      <c r="H1" s="10" t="s">
        <v>101</v>
      </c>
      <c r="I1" s="10" t="s">
        <v>102</v>
      </c>
      <c r="J1" s="9" t="s">
        <v>103</v>
      </c>
      <c r="K1" s="12" t="s">
        <v>104</v>
      </c>
      <c r="L1" s="12" t="s">
        <v>105</v>
      </c>
      <c r="M1" s="12" t="s">
        <v>106</v>
      </c>
      <c r="N1" s="12" t="s">
        <v>107</v>
      </c>
      <c r="O1" s="12" t="s">
        <v>108</v>
      </c>
      <c r="P1" s="11" t="s">
        <v>109</v>
      </c>
      <c r="Q1" s="11" t="s">
        <v>110</v>
      </c>
      <c r="R1" s="11" t="s">
        <v>111</v>
      </c>
    </row>
    <row r="2" customFormat="false" ht="23.85" hidden="false" customHeight="false" outlineLevel="0" collapsed="false">
      <c r="A2" s="13" t="s">
        <v>112</v>
      </c>
      <c r="B2" s="13" t="s">
        <v>72</v>
      </c>
      <c r="C2" s="13" t="n">
        <v>1</v>
      </c>
      <c r="D2" s="13" t="s">
        <v>113</v>
      </c>
      <c r="E2" s="13" t="s">
        <v>114</v>
      </c>
      <c r="F2" s="13" t="s">
        <v>115</v>
      </c>
      <c r="G2" s="13" t="s">
        <v>116</v>
      </c>
      <c r="H2" s="13"/>
      <c r="I2" s="13"/>
      <c r="J2" s="13" t="s">
        <v>117</v>
      </c>
      <c r="K2" s="13" t="s">
        <v>41</v>
      </c>
      <c r="L2" s="13"/>
      <c r="M2" s="13"/>
      <c r="N2" s="13" t="s">
        <v>118</v>
      </c>
      <c r="O2" s="13"/>
      <c r="P2" s="14" t="n">
        <f aca="false">COUNTIF(Sources!$B:$B,A2)</f>
        <v>0</v>
      </c>
      <c r="Q2" s="14" t="n">
        <f aca="false">COUNTIFS(Sources!$B:$B,A2,Sources!$J:$J,"yes")</f>
        <v>0</v>
      </c>
      <c r="R2" s="15" t="str">
        <f aca="false">IF(AND(D2&lt;&gt;"",F2&lt;&gt;"",G2&lt;&gt;"",Q2&gt;=1),"Yes","Not yet")</f>
        <v>Not yet</v>
      </c>
    </row>
    <row r="3" customFormat="false" ht="23.85" hidden="false" customHeight="false" outlineLevel="0" collapsed="false">
      <c r="A3" s="13" t="s">
        <v>119</v>
      </c>
      <c r="B3" s="13" t="s">
        <v>72</v>
      </c>
      <c r="C3" s="13" t="n">
        <v>2</v>
      </c>
      <c r="D3" s="13" t="s">
        <v>120</v>
      </c>
      <c r="E3" s="13" t="s">
        <v>121</v>
      </c>
      <c r="F3" s="13" t="s">
        <v>122</v>
      </c>
      <c r="G3" s="13" t="s">
        <v>123</v>
      </c>
      <c r="H3" s="13"/>
      <c r="I3" s="13"/>
      <c r="J3" s="13" t="s">
        <v>117</v>
      </c>
      <c r="K3" s="13" t="s">
        <v>41</v>
      </c>
      <c r="L3" s="13"/>
      <c r="M3" s="13"/>
      <c r="N3" s="13" t="s">
        <v>124</v>
      </c>
      <c r="O3" s="13"/>
      <c r="P3" s="14" t="n">
        <f aca="false">COUNTIF(Sources!$B:$B,A3)</f>
        <v>0</v>
      </c>
      <c r="Q3" s="14" t="n">
        <f aca="false">COUNTIFS(Sources!$B:$B,A3,Sources!$J:$J,"yes")</f>
        <v>0</v>
      </c>
      <c r="R3" s="15" t="str">
        <f aca="false">IF(AND(D3&lt;&gt;"",F3&lt;&gt;"",G3&lt;&gt;"",Q3&gt;=1),"Yes","Not yet")</f>
        <v>Not yet</v>
      </c>
    </row>
    <row r="4" customFormat="false" ht="35.05" hidden="false" customHeight="false" outlineLevel="0" collapsed="false">
      <c r="A4" s="13" t="s">
        <v>125</v>
      </c>
      <c r="B4" s="13" t="s">
        <v>72</v>
      </c>
      <c r="C4" s="13" t="n">
        <v>3</v>
      </c>
      <c r="D4" s="13" t="s">
        <v>126</v>
      </c>
      <c r="E4" s="13" t="s">
        <v>81</v>
      </c>
      <c r="F4" s="13" t="s">
        <v>127</v>
      </c>
      <c r="G4" s="13" t="s">
        <v>128</v>
      </c>
      <c r="H4" s="13"/>
      <c r="I4" s="13"/>
      <c r="J4" s="13" t="s">
        <v>117</v>
      </c>
      <c r="K4" s="13" t="s">
        <v>41</v>
      </c>
      <c r="L4" s="13"/>
      <c r="M4" s="13"/>
      <c r="N4" s="13" t="s">
        <v>129</v>
      </c>
      <c r="O4" s="13"/>
      <c r="P4" s="14" t="n">
        <f aca="false">COUNTIF(Sources!$B:$B,A4)</f>
        <v>3</v>
      </c>
      <c r="Q4" s="14" t="n">
        <f aca="false">COUNTIFS(Sources!$B:$B,A4,Sources!$J:$J,"yes")</f>
        <v>0</v>
      </c>
      <c r="R4" s="15" t="str">
        <f aca="false">IF(AND(D4&lt;&gt;"",F4&lt;&gt;"",G4&lt;&gt;"",Q4&gt;=1),"Yes","Not yet")</f>
        <v>Not yet</v>
      </c>
    </row>
    <row r="5" customFormat="false" ht="23.85" hidden="false" customHeight="false" outlineLevel="0" collapsed="false">
      <c r="A5" s="13" t="s">
        <v>130</v>
      </c>
      <c r="B5" s="13" t="s">
        <v>76</v>
      </c>
      <c r="C5" s="13" t="n">
        <v>1</v>
      </c>
      <c r="D5" s="13" t="s">
        <v>131</v>
      </c>
      <c r="E5" s="13" t="s">
        <v>132</v>
      </c>
      <c r="F5" s="13" t="s">
        <v>133</v>
      </c>
      <c r="G5" s="13" t="s">
        <v>134</v>
      </c>
      <c r="H5" s="13"/>
      <c r="I5" s="13"/>
      <c r="J5" s="13" t="s">
        <v>117</v>
      </c>
      <c r="K5" s="13" t="s">
        <v>41</v>
      </c>
      <c r="L5" s="13"/>
      <c r="M5" s="13"/>
      <c r="N5" s="13" t="s">
        <v>135</v>
      </c>
      <c r="O5" s="13"/>
      <c r="P5" s="14" t="n">
        <f aca="false">COUNTIF(Sources!$B:$B,A5)</f>
        <v>4</v>
      </c>
      <c r="Q5" s="14" t="n">
        <f aca="false">COUNTIFS(Sources!$B:$B,A5,Sources!$J:$J,"yes")</f>
        <v>0</v>
      </c>
      <c r="R5" s="15" t="str">
        <f aca="false">IF(AND(D5&lt;&gt;"",F5&lt;&gt;"",G5&lt;&gt;"",Q5&gt;=1),"Yes","Not yet")</f>
        <v>Not yet</v>
      </c>
    </row>
    <row r="6" customFormat="false" ht="23.85" hidden="false" customHeight="false" outlineLevel="0" collapsed="false">
      <c r="A6" s="13" t="s">
        <v>136</v>
      </c>
      <c r="B6" s="13" t="s">
        <v>76</v>
      </c>
      <c r="C6" s="13" t="n">
        <v>2</v>
      </c>
      <c r="D6" s="13" t="s">
        <v>137</v>
      </c>
      <c r="E6" s="13" t="s">
        <v>138</v>
      </c>
      <c r="F6" s="13" t="s">
        <v>139</v>
      </c>
      <c r="G6" s="13" t="s">
        <v>140</v>
      </c>
      <c r="H6" s="13"/>
      <c r="I6" s="13"/>
      <c r="J6" s="13" t="s">
        <v>117</v>
      </c>
      <c r="K6" s="13" t="s">
        <v>41</v>
      </c>
      <c r="L6" s="13"/>
      <c r="M6" s="13"/>
      <c r="N6" s="13" t="s">
        <v>141</v>
      </c>
      <c r="O6" s="13"/>
      <c r="P6" s="14" t="n">
        <f aca="false">COUNTIF(Sources!$B:$B,A6)</f>
        <v>0</v>
      </c>
      <c r="Q6" s="14" t="n">
        <f aca="false">COUNTIFS(Sources!$B:$B,A6,Sources!$J:$J,"yes")</f>
        <v>0</v>
      </c>
      <c r="R6" s="15" t="str">
        <f aca="false">IF(AND(D6&lt;&gt;"",F6&lt;&gt;"",G6&lt;&gt;"",Q6&gt;=1),"Yes","Not yet")</f>
        <v>Not yet</v>
      </c>
    </row>
    <row r="7" customFormat="false" ht="23.85" hidden="false" customHeight="false" outlineLevel="0" collapsed="false">
      <c r="A7" s="13" t="s">
        <v>142</v>
      </c>
      <c r="B7" s="13" t="s">
        <v>76</v>
      </c>
      <c r="C7" s="13" t="n">
        <v>3</v>
      </c>
      <c r="D7" s="13" t="s">
        <v>143</v>
      </c>
      <c r="E7" s="13" t="s">
        <v>144</v>
      </c>
      <c r="F7" s="13" t="s">
        <v>145</v>
      </c>
      <c r="G7" s="13" t="s">
        <v>146</v>
      </c>
      <c r="H7" s="13"/>
      <c r="I7" s="13"/>
      <c r="J7" s="13" t="s">
        <v>117</v>
      </c>
      <c r="K7" s="13" t="s">
        <v>41</v>
      </c>
      <c r="L7" s="13"/>
      <c r="M7" s="13"/>
      <c r="N7" s="13" t="s">
        <v>147</v>
      </c>
      <c r="O7" s="13"/>
      <c r="P7" s="14" t="n">
        <f aca="false">COUNTIF(Sources!$B:$B,A7)</f>
        <v>0</v>
      </c>
      <c r="Q7" s="14" t="n">
        <f aca="false">COUNTIFS(Sources!$B:$B,A7,Sources!$J:$J,"yes")</f>
        <v>0</v>
      </c>
      <c r="R7" s="15" t="str">
        <f aca="false">IF(AND(D7&lt;&gt;"",F7&lt;&gt;"",G7&lt;&gt;"",Q7&gt;=1),"Yes","Not yet")</f>
        <v>Not yet</v>
      </c>
    </row>
    <row r="8" customFormat="false" ht="23.85" hidden="false" customHeight="false" outlineLevel="0" collapsed="false">
      <c r="A8" s="13" t="s">
        <v>148</v>
      </c>
      <c r="B8" s="13" t="s">
        <v>79</v>
      </c>
      <c r="C8" s="13" t="n">
        <v>1</v>
      </c>
      <c r="D8" s="13" t="s">
        <v>149</v>
      </c>
      <c r="E8" s="13" t="s">
        <v>150</v>
      </c>
      <c r="F8" s="13" t="s">
        <v>151</v>
      </c>
      <c r="G8" s="13" t="s">
        <v>152</v>
      </c>
      <c r="H8" s="13"/>
      <c r="I8" s="13"/>
      <c r="J8" s="13" t="s">
        <v>117</v>
      </c>
      <c r="K8" s="13" t="s">
        <v>41</v>
      </c>
      <c r="L8" s="13"/>
      <c r="M8" s="13"/>
      <c r="N8" s="13" t="s">
        <v>153</v>
      </c>
      <c r="O8" s="13"/>
      <c r="P8" s="14" t="n">
        <f aca="false">COUNTIF(Sources!$B:$B,A8)</f>
        <v>3</v>
      </c>
      <c r="Q8" s="14" t="n">
        <f aca="false">COUNTIFS(Sources!$B:$B,A8,Sources!$J:$J,"yes")</f>
        <v>0</v>
      </c>
      <c r="R8" s="15" t="str">
        <f aca="false">IF(AND(D8&lt;&gt;"",F8&lt;&gt;"",G8&lt;&gt;"",Q8&gt;=1),"Yes","Not yet")</f>
        <v>Not yet</v>
      </c>
    </row>
    <row r="9" customFormat="false" ht="23.85" hidden="false" customHeight="false" outlineLevel="0" collapsed="false">
      <c r="A9" s="13" t="s">
        <v>154</v>
      </c>
      <c r="B9" s="13" t="s">
        <v>79</v>
      </c>
      <c r="C9" s="13" t="n">
        <v>2</v>
      </c>
      <c r="D9" s="13" t="s">
        <v>155</v>
      </c>
      <c r="E9" s="13" t="s">
        <v>156</v>
      </c>
      <c r="F9" s="13" t="s">
        <v>157</v>
      </c>
      <c r="G9" s="13" t="s">
        <v>158</v>
      </c>
      <c r="H9" s="13"/>
      <c r="I9" s="13"/>
      <c r="J9" s="13" t="s">
        <v>117</v>
      </c>
      <c r="K9" s="13" t="s">
        <v>41</v>
      </c>
      <c r="L9" s="13"/>
      <c r="M9" s="13"/>
      <c r="N9" s="13" t="s">
        <v>159</v>
      </c>
      <c r="O9" s="13"/>
      <c r="P9" s="14" t="n">
        <f aca="false">COUNTIF(Sources!$B:$B,A9)</f>
        <v>0</v>
      </c>
      <c r="Q9" s="14" t="n">
        <f aca="false">COUNTIFS(Sources!$B:$B,A9,Sources!$J:$J,"yes")</f>
        <v>0</v>
      </c>
      <c r="R9" s="15" t="str">
        <f aca="false">IF(AND(D9&lt;&gt;"",F9&lt;&gt;"",G9&lt;&gt;"",Q9&gt;=1),"Yes","Not yet")</f>
        <v>Not yet</v>
      </c>
    </row>
    <row r="10" customFormat="false" ht="23.85" hidden="false" customHeight="false" outlineLevel="0" collapsed="false">
      <c r="A10" s="13" t="s">
        <v>160</v>
      </c>
      <c r="B10" s="13" t="s">
        <v>79</v>
      </c>
      <c r="C10" s="13" t="n">
        <v>3</v>
      </c>
      <c r="D10" s="13" t="s">
        <v>161</v>
      </c>
      <c r="E10" s="13" t="s">
        <v>162</v>
      </c>
      <c r="F10" s="13" t="s">
        <v>163</v>
      </c>
      <c r="G10" s="13" t="s">
        <v>164</v>
      </c>
      <c r="H10" s="13"/>
      <c r="I10" s="13"/>
      <c r="J10" s="13" t="s">
        <v>117</v>
      </c>
      <c r="K10" s="13" t="s">
        <v>41</v>
      </c>
      <c r="L10" s="13"/>
      <c r="M10" s="13"/>
      <c r="N10" s="13" t="s">
        <v>165</v>
      </c>
      <c r="O10" s="13"/>
      <c r="P10" s="14" t="n">
        <f aca="false">COUNTIF(Sources!$B:$B,A10)</f>
        <v>0</v>
      </c>
      <c r="Q10" s="14" t="n">
        <f aca="false">COUNTIFS(Sources!$B:$B,A10,Sources!$J:$J,"yes")</f>
        <v>0</v>
      </c>
      <c r="R10" s="15" t="str">
        <f aca="false">IF(AND(D10&lt;&gt;"",F10&lt;&gt;"",G10&lt;&gt;"",Q10&gt;=1),"Yes","Not yet")</f>
        <v>Not yet</v>
      </c>
    </row>
    <row r="11" customFormat="false" ht="23.85" hidden="false" customHeight="false" outlineLevel="0" collapsed="false">
      <c r="A11" s="13" t="s">
        <v>166</v>
      </c>
      <c r="B11" s="13" t="s">
        <v>83</v>
      </c>
      <c r="C11" s="13" t="n">
        <v>1</v>
      </c>
      <c r="D11" s="13" t="s">
        <v>167</v>
      </c>
      <c r="E11" s="13" t="s">
        <v>168</v>
      </c>
      <c r="F11" s="13" t="s">
        <v>169</v>
      </c>
      <c r="G11" s="13" t="s">
        <v>170</v>
      </c>
      <c r="H11" s="13"/>
      <c r="I11" s="13"/>
      <c r="J11" s="13" t="s">
        <v>117</v>
      </c>
      <c r="K11" s="13" t="s">
        <v>41</v>
      </c>
      <c r="L11" s="13"/>
      <c r="M11" s="13"/>
      <c r="N11" s="13" t="s">
        <v>171</v>
      </c>
      <c r="O11" s="13"/>
      <c r="P11" s="14" t="n">
        <f aca="false">COUNTIF(Sources!$B:$B,A11)</f>
        <v>1</v>
      </c>
      <c r="Q11" s="14" t="n">
        <f aca="false">COUNTIFS(Sources!$B:$B,A11,Sources!$J:$J,"yes")</f>
        <v>0</v>
      </c>
      <c r="R11" s="15" t="str">
        <f aca="false">IF(AND(D11&lt;&gt;"",F11&lt;&gt;"",G11&lt;&gt;"",Q11&gt;=1),"Yes","Not yet")</f>
        <v>Not yet</v>
      </c>
    </row>
    <row r="12" customFormat="false" ht="23.85" hidden="false" customHeight="false" outlineLevel="0" collapsed="false">
      <c r="A12" s="13" t="s">
        <v>172</v>
      </c>
      <c r="B12" s="13" t="s">
        <v>83</v>
      </c>
      <c r="C12" s="13" t="n">
        <v>2</v>
      </c>
      <c r="D12" s="13" t="s">
        <v>173</v>
      </c>
      <c r="E12" s="13" t="s">
        <v>174</v>
      </c>
      <c r="F12" s="13" t="s">
        <v>175</v>
      </c>
      <c r="G12" s="13" t="s">
        <v>176</v>
      </c>
      <c r="H12" s="13"/>
      <c r="I12" s="13"/>
      <c r="J12" s="13" t="s">
        <v>117</v>
      </c>
      <c r="K12" s="13" t="s">
        <v>41</v>
      </c>
      <c r="L12" s="13"/>
      <c r="M12" s="13"/>
      <c r="N12" s="13" t="s">
        <v>177</v>
      </c>
      <c r="O12" s="13"/>
      <c r="P12" s="14" t="n">
        <f aca="false">COUNTIF(Sources!$B:$B,A12)</f>
        <v>0</v>
      </c>
      <c r="Q12" s="14" t="n">
        <f aca="false">COUNTIFS(Sources!$B:$B,A12,Sources!$J:$J,"yes")</f>
        <v>0</v>
      </c>
      <c r="R12" s="15" t="str">
        <f aca="false">IF(AND(D12&lt;&gt;"",F12&lt;&gt;"",G12&lt;&gt;"",Q12&gt;=1),"Yes","Not yet")</f>
        <v>Not yet</v>
      </c>
    </row>
    <row r="13" customFormat="false" ht="23.85" hidden="false" customHeight="false" outlineLevel="0" collapsed="false">
      <c r="A13" s="13" t="s">
        <v>178</v>
      </c>
      <c r="B13" s="13" t="s">
        <v>83</v>
      </c>
      <c r="C13" s="13" t="n">
        <v>3</v>
      </c>
      <c r="D13" s="13" t="s">
        <v>179</v>
      </c>
      <c r="E13" s="13" t="s">
        <v>180</v>
      </c>
      <c r="F13" s="13" t="s">
        <v>181</v>
      </c>
      <c r="G13" s="13" t="s">
        <v>182</v>
      </c>
      <c r="H13" s="13"/>
      <c r="I13" s="13"/>
      <c r="J13" s="13" t="s">
        <v>117</v>
      </c>
      <c r="K13" s="13" t="s">
        <v>41</v>
      </c>
      <c r="L13" s="13"/>
      <c r="M13" s="13"/>
      <c r="N13" s="13" t="s">
        <v>183</v>
      </c>
      <c r="O13" s="13"/>
      <c r="P13" s="14" t="n">
        <f aca="false">COUNTIF(Sources!$B:$B,A13)</f>
        <v>2</v>
      </c>
      <c r="Q13" s="14" t="n">
        <f aca="false">COUNTIFS(Sources!$B:$B,A13,Sources!$J:$J,"yes")</f>
        <v>0</v>
      </c>
      <c r="R13" s="15" t="str">
        <f aca="false">IF(AND(D13&lt;&gt;"",F13&lt;&gt;"",G13&lt;&gt;"",Q13&gt;=1),"Yes","Not yet")</f>
        <v>Not yet</v>
      </c>
    </row>
    <row r="14" customFormat="false" ht="23.85" hidden="false" customHeight="false" outlineLevel="0" collapsed="false">
      <c r="A14" s="13" t="s">
        <v>184</v>
      </c>
      <c r="B14" s="13" t="s">
        <v>86</v>
      </c>
      <c r="C14" s="13" t="n">
        <v>1</v>
      </c>
      <c r="D14" s="13" t="s">
        <v>185</v>
      </c>
      <c r="E14" s="13" t="s">
        <v>81</v>
      </c>
      <c r="F14" s="13" t="s">
        <v>186</v>
      </c>
      <c r="G14" s="13" t="s">
        <v>187</v>
      </c>
      <c r="H14" s="13"/>
      <c r="I14" s="13"/>
      <c r="J14" s="13" t="s">
        <v>188</v>
      </c>
      <c r="K14" s="13" t="s">
        <v>41</v>
      </c>
      <c r="L14" s="13"/>
      <c r="M14" s="13"/>
      <c r="N14" s="13" t="s">
        <v>189</v>
      </c>
      <c r="O14" s="13"/>
      <c r="P14" s="14" t="n">
        <f aca="false">COUNTIF(Sources!$B:$B,A14)</f>
        <v>3</v>
      </c>
      <c r="Q14" s="14" t="n">
        <f aca="false">COUNTIFS(Sources!$B:$B,A14,Sources!$J:$J,"yes")</f>
        <v>0</v>
      </c>
      <c r="R14" s="15" t="str">
        <f aca="false">IF(AND(D14&lt;&gt;"",F14&lt;&gt;"",G14&lt;&gt;"",Q14&gt;=1),"Yes","Not yet")</f>
        <v>Not yet</v>
      </c>
    </row>
    <row r="15" customFormat="false" ht="23.85" hidden="false" customHeight="false" outlineLevel="0" collapsed="false">
      <c r="A15" s="13" t="s">
        <v>190</v>
      </c>
      <c r="B15" s="13" t="s">
        <v>86</v>
      </c>
      <c r="C15" s="13" t="n">
        <v>2</v>
      </c>
      <c r="D15" s="13" t="s">
        <v>191</v>
      </c>
      <c r="E15" s="13" t="s">
        <v>162</v>
      </c>
      <c r="F15" s="13" t="s">
        <v>192</v>
      </c>
      <c r="G15" s="13" t="s">
        <v>193</v>
      </c>
      <c r="H15" s="13"/>
      <c r="I15" s="13"/>
      <c r="J15" s="13" t="s">
        <v>188</v>
      </c>
      <c r="K15" s="13" t="s">
        <v>41</v>
      </c>
      <c r="L15" s="13"/>
      <c r="M15" s="13"/>
      <c r="N15" s="13" t="s">
        <v>194</v>
      </c>
      <c r="O15" s="13"/>
      <c r="P15" s="14" t="n">
        <f aca="false">COUNTIF(Sources!$B:$B,A15)</f>
        <v>0</v>
      </c>
      <c r="Q15" s="14" t="n">
        <f aca="false">COUNTIFS(Sources!$B:$B,A15,Sources!$J:$J,"yes")</f>
        <v>0</v>
      </c>
      <c r="R15" s="15" t="str">
        <f aca="false">IF(AND(D15&lt;&gt;"",F15&lt;&gt;"",G15&lt;&gt;"",Q15&gt;=1),"Yes","Not yet")</f>
        <v>Not yet</v>
      </c>
    </row>
    <row r="16" customFormat="false" ht="23.85" hidden="false" customHeight="false" outlineLevel="0" collapsed="false">
      <c r="A16" s="13" t="s">
        <v>195</v>
      </c>
      <c r="B16" s="13" t="s">
        <v>86</v>
      </c>
      <c r="C16" s="13" t="n">
        <v>3</v>
      </c>
      <c r="D16" s="13" t="s">
        <v>196</v>
      </c>
      <c r="E16" s="13" t="s">
        <v>174</v>
      </c>
      <c r="F16" s="13" t="s">
        <v>197</v>
      </c>
      <c r="G16" s="13" t="s">
        <v>198</v>
      </c>
      <c r="H16" s="13"/>
      <c r="I16" s="13"/>
      <c r="J16" s="13" t="s">
        <v>188</v>
      </c>
      <c r="K16" s="13" t="s">
        <v>41</v>
      </c>
      <c r="L16" s="13"/>
      <c r="M16" s="13"/>
      <c r="N16" s="13" t="s">
        <v>199</v>
      </c>
      <c r="O16" s="13"/>
      <c r="P16" s="14" t="n">
        <f aca="false">COUNTIF(Sources!$B:$B,A16)</f>
        <v>0</v>
      </c>
      <c r="Q16" s="14" t="n">
        <f aca="false">COUNTIFS(Sources!$B:$B,A16,Sources!$J:$J,"yes")</f>
        <v>0</v>
      </c>
      <c r="R16" s="15" t="str">
        <f aca="false">IF(AND(D16&lt;&gt;"",F16&lt;&gt;"",G16&lt;&gt;"",Q16&gt;=1),"Yes","Not yet")</f>
        <v>Not yet</v>
      </c>
    </row>
    <row r="17" customFormat="false" ht="23.85" hidden="false" customHeight="false" outlineLevel="0" collapsed="false">
      <c r="A17" s="13" t="s">
        <v>200</v>
      </c>
      <c r="B17" s="13" t="s">
        <v>89</v>
      </c>
      <c r="C17" s="13" t="n">
        <v>1</v>
      </c>
      <c r="D17" s="13" t="s">
        <v>201</v>
      </c>
      <c r="E17" s="13" t="s">
        <v>168</v>
      </c>
      <c r="F17" s="13" t="s">
        <v>202</v>
      </c>
      <c r="G17" s="13" t="s">
        <v>203</v>
      </c>
      <c r="H17" s="13"/>
      <c r="I17" s="13"/>
      <c r="J17" s="13" t="s">
        <v>117</v>
      </c>
      <c r="K17" s="13" t="s">
        <v>41</v>
      </c>
      <c r="L17" s="13"/>
      <c r="M17" s="13"/>
      <c r="N17" s="13" t="s">
        <v>204</v>
      </c>
      <c r="O17" s="13"/>
      <c r="P17" s="14" t="n">
        <f aca="false">COUNTIF(Sources!$B:$B,A17)</f>
        <v>3</v>
      </c>
      <c r="Q17" s="14" t="n">
        <f aca="false">COUNTIFS(Sources!$B:$B,A17,Sources!$J:$J,"yes")</f>
        <v>0</v>
      </c>
      <c r="R17" s="15" t="str">
        <f aca="false">IF(AND(D17&lt;&gt;"",F17&lt;&gt;"",G17&lt;&gt;"",Q17&gt;=1),"Yes","Not yet")</f>
        <v>Not yet</v>
      </c>
    </row>
    <row r="18" customFormat="false" ht="23.85" hidden="false" customHeight="false" outlineLevel="0" collapsed="false">
      <c r="A18" s="13" t="s">
        <v>205</v>
      </c>
      <c r="B18" s="13" t="s">
        <v>89</v>
      </c>
      <c r="C18" s="13" t="n">
        <v>2</v>
      </c>
      <c r="D18" s="13" t="s">
        <v>206</v>
      </c>
      <c r="E18" s="13" t="s">
        <v>114</v>
      </c>
      <c r="F18" s="13" t="s">
        <v>207</v>
      </c>
      <c r="G18" s="13" t="s">
        <v>208</v>
      </c>
      <c r="H18" s="13"/>
      <c r="I18" s="13"/>
      <c r="J18" s="13" t="s">
        <v>117</v>
      </c>
      <c r="K18" s="13" t="s">
        <v>41</v>
      </c>
      <c r="L18" s="13"/>
      <c r="M18" s="13"/>
      <c r="N18" s="13" t="s">
        <v>209</v>
      </c>
      <c r="O18" s="13"/>
      <c r="P18" s="14" t="n">
        <f aca="false">COUNTIF(Sources!$B:$B,A18)</f>
        <v>0</v>
      </c>
      <c r="Q18" s="14" t="n">
        <f aca="false">COUNTIFS(Sources!$B:$B,A18,Sources!$J:$J,"yes")</f>
        <v>0</v>
      </c>
      <c r="R18" s="15" t="str">
        <f aca="false">IF(AND(D18&lt;&gt;"",F18&lt;&gt;"",G18&lt;&gt;"",Q18&gt;=1),"Yes","Not yet")</f>
        <v>Not yet</v>
      </c>
    </row>
    <row r="19" customFormat="false" ht="23.85" hidden="false" customHeight="false" outlineLevel="0" collapsed="false">
      <c r="A19" s="13" t="s">
        <v>210</v>
      </c>
      <c r="B19" s="13" t="s">
        <v>89</v>
      </c>
      <c r="C19" s="13" t="n">
        <v>3</v>
      </c>
      <c r="D19" s="13" t="s">
        <v>211</v>
      </c>
      <c r="E19" s="13" t="s">
        <v>121</v>
      </c>
      <c r="F19" s="13" t="s">
        <v>212</v>
      </c>
      <c r="G19" s="13" t="s">
        <v>213</v>
      </c>
      <c r="H19" s="13"/>
      <c r="I19" s="13"/>
      <c r="J19" s="13" t="s">
        <v>117</v>
      </c>
      <c r="K19" s="13" t="s">
        <v>41</v>
      </c>
      <c r="L19" s="13"/>
      <c r="M19" s="13"/>
      <c r="N19" s="13" t="s">
        <v>214</v>
      </c>
      <c r="O19" s="13"/>
      <c r="P19" s="14" t="n">
        <f aca="false">COUNTIF(Sources!$B:$B,A19)</f>
        <v>0</v>
      </c>
      <c r="Q19" s="14" t="n">
        <f aca="false">COUNTIFS(Sources!$B:$B,A19,Sources!$J:$J,"yes")</f>
        <v>0</v>
      </c>
      <c r="R19" s="15" t="str">
        <f aca="false">IF(AND(D19&lt;&gt;"",F19&lt;&gt;"",G19&lt;&gt;"",Q19&gt;=1),"Yes","Not yet")</f>
        <v>Not yet</v>
      </c>
    </row>
    <row r="20" customFormat="false" ht="23.85" hidden="false" customHeight="false" outlineLevel="0" collapsed="false">
      <c r="A20" s="13" t="s">
        <v>215</v>
      </c>
      <c r="B20" s="13" t="s">
        <v>92</v>
      </c>
      <c r="C20" s="13" t="n">
        <v>1</v>
      </c>
      <c r="D20" s="13" t="s">
        <v>216</v>
      </c>
      <c r="E20" s="13" t="s">
        <v>144</v>
      </c>
      <c r="F20" s="13" t="s">
        <v>217</v>
      </c>
      <c r="G20" s="13" t="s">
        <v>218</v>
      </c>
      <c r="H20" s="13"/>
      <c r="I20" s="13"/>
      <c r="J20" s="13" t="s">
        <v>117</v>
      </c>
      <c r="K20" s="13" t="s">
        <v>41</v>
      </c>
      <c r="L20" s="13"/>
      <c r="M20" s="13"/>
      <c r="N20" s="13" t="s">
        <v>219</v>
      </c>
      <c r="O20" s="13"/>
      <c r="P20" s="14" t="n">
        <f aca="false">COUNTIF(Sources!$B:$B,A20)</f>
        <v>0</v>
      </c>
      <c r="Q20" s="14" t="n">
        <f aca="false">COUNTIFS(Sources!$B:$B,A20,Sources!$J:$J,"yes")</f>
        <v>0</v>
      </c>
      <c r="R20" s="15" t="str">
        <f aca="false">IF(AND(D20&lt;&gt;"",F20&lt;&gt;"",G20&lt;&gt;"",Q20&gt;=1),"Yes","Not yet")</f>
        <v>Not yet</v>
      </c>
    </row>
    <row r="21" customFormat="false" ht="23.85" hidden="false" customHeight="false" outlineLevel="0" collapsed="false">
      <c r="A21" s="13" t="s">
        <v>220</v>
      </c>
      <c r="B21" s="13" t="s">
        <v>92</v>
      </c>
      <c r="C21" s="13" t="n">
        <v>2</v>
      </c>
      <c r="D21" s="13" t="s">
        <v>221</v>
      </c>
      <c r="E21" s="13" t="s">
        <v>162</v>
      </c>
      <c r="F21" s="13" t="s">
        <v>222</v>
      </c>
      <c r="G21" s="13" t="s">
        <v>223</v>
      </c>
      <c r="H21" s="13"/>
      <c r="I21" s="13"/>
      <c r="J21" s="13" t="s">
        <v>117</v>
      </c>
      <c r="K21" s="13" t="s">
        <v>41</v>
      </c>
      <c r="L21" s="13"/>
      <c r="M21" s="13"/>
      <c r="N21" s="13" t="s">
        <v>224</v>
      </c>
      <c r="O21" s="13"/>
      <c r="P21" s="14" t="n">
        <f aca="false">COUNTIF(Sources!$B:$B,A21)</f>
        <v>3</v>
      </c>
      <c r="Q21" s="14" t="n">
        <f aca="false">COUNTIFS(Sources!$B:$B,A21,Sources!$J:$J,"yes")</f>
        <v>0</v>
      </c>
      <c r="R21" s="15" t="str">
        <f aca="false">IF(AND(D21&lt;&gt;"",F21&lt;&gt;"",G21&lt;&gt;"",Q21&gt;=1),"Yes","Not yet")</f>
        <v>Not yet</v>
      </c>
    </row>
    <row r="22" customFormat="false" ht="23.85" hidden="false" customHeight="false" outlineLevel="0" collapsed="false">
      <c r="A22" s="13" t="s">
        <v>225</v>
      </c>
      <c r="B22" s="13" t="s">
        <v>92</v>
      </c>
      <c r="C22" s="13" t="n">
        <v>3</v>
      </c>
      <c r="D22" s="13" t="s">
        <v>226</v>
      </c>
      <c r="E22" s="13" t="s">
        <v>227</v>
      </c>
      <c r="F22" s="13" t="s">
        <v>228</v>
      </c>
      <c r="G22" s="13" t="s">
        <v>229</v>
      </c>
      <c r="H22" s="13"/>
      <c r="I22" s="13"/>
      <c r="J22" s="13" t="s">
        <v>117</v>
      </c>
      <c r="K22" s="13" t="s">
        <v>41</v>
      </c>
      <c r="L22" s="13"/>
      <c r="M22" s="13"/>
      <c r="N22" s="13" t="s">
        <v>230</v>
      </c>
      <c r="O22" s="13"/>
      <c r="P22" s="14" t="n">
        <f aca="false">COUNTIF(Sources!$B:$B,A22)</f>
        <v>0</v>
      </c>
      <c r="Q22" s="14" t="n">
        <f aca="false">COUNTIFS(Sources!$B:$B,A22,Sources!$J:$J,"yes")</f>
        <v>0</v>
      </c>
      <c r="R22" s="15" t="str">
        <f aca="false">IF(AND(D22&lt;&gt;"",F22&lt;&gt;"",G22&lt;&gt;"",Q22&gt;=1),"Yes","Not yet")</f>
        <v>Not yet</v>
      </c>
    </row>
  </sheetData>
  <autoFilter ref="A1:R22"/>
  <conditionalFormatting sqref="D2:D300">
    <cfRule type="expression" priority="2" aboveAverage="0" equalAverage="0" bottom="0" percent="0" rank="0" text="" dxfId="8">
      <formula>LEN(D2)-LEN(SUBSTITUTE(D2," ",""))+1&gt;10</formula>
    </cfRule>
  </conditionalFormatting>
  <conditionalFormatting sqref="G2:G300">
    <cfRule type="expression" priority="3" aboveAverage="0" equalAverage="0" bottom="0" percent="0" rank="0" text="" dxfId="8">
      <formula>LEN(G2)-LEN(SUBSTITUTE(G2," ",""))+1&gt;25</formula>
    </cfRule>
  </conditionalFormatting>
  <conditionalFormatting sqref="K2:K300">
    <cfRule type="expression" priority="4" aboveAverage="0" equalAverage="0" bottom="0" percent="0" rank="0" text="" dxfId="9">
      <formula>AND(K2="live",Q2&lt;1)</formula>
    </cfRule>
  </conditionalFormatting>
  <conditionalFormatting sqref="R2:R300">
    <cfRule type="expression" priority="5" aboveAverage="0" equalAverage="0" bottom="0" percent="0" rank="0" text="" dxfId="10">
      <formula>R2="Yes"</formula>
    </cfRule>
  </conditionalFormatting>
  <dataValidations count="4">
    <dataValidation allowBlank="true" error="Pick a value from the dropdown. To add a new option, add it on the Lists tab." errorStyle="stop" errorTitle="Not in the list" operator="between" showDropDown="false" showErrorMessage="true" showInputMessage="false" sqref="B2:B300" type="list">
      <formula1>Topics!$A$2:$A$40</formula1>
      <formula2>0</formula2>
    </dataValidation>
    <dataValidation allowBlank="true" error="Pick a value from the dropdown. To add a new option, add it on the Lists tab." errorStyle="stop" errorTitle="Not in the list" operator="between" showDropDown="false" showErrorMessage="true" showInputMessage="false" sqref="E2:E300" type="list">
      <formula1>Lists!$C$2:$C$18</formula1>
      <formula2>0</formula2>
    </dataValidation>
    <dataValidation allowBlank="true" error="Pick a value from the dropdown. To add a new option, add it on the Lists tab." errorStyle="stop" errorTitle="Not in the list" operator="between" showDropDown="false" showErrorMessage="true" showInputMessage="false" sqref="J2:J300" type="list">
      <formula1>Lists!$E$2:$E$9</formula1>
      <formula2>0</formula2>
    </dataValidation>
    <dataValidation allowBlank="true" error="Pick a value from the dropdown. To add a new option, add it on the Lists tab." errorStyle="stop" errorTitle="Not in the list" operator="between" showDropDown="false" showErrorMessage="true" showInputMessage="false" sqref="K2:K300" type="list">
      <formula1>Lists!$A$2:$A$5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6" min="6" style="0" width="40"/>
    <col collapsed="false" customWidth="true" hidden="false" outlineLevel="0" max="7" min="7" style="0" width="4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2" min="11" style="0" width="12"/>
    <col collapsed="false" customWidth="true" hidden="false" outlineLevel="0" max="13" min="13" style="0" width="24"/>
    <col collapsed="false" customWidth="true" hidden="false" outlineLevel="0" max="14" min="14" style="0" width="16"/>
  </cols>
  <sheetData>
    <row r="1" customFormat="false" ht="31.5" hidden="false" customHeight="true" outlineLevel="0" collapsed="false">
      <c r="A1" s="9" t="s">
        <v>231</v>
      </c>
      <c r="B1" s="9" t="s">
        <v>232</v>
      </c>
      <c r="C1" s="12" t="s">
        <v>99</v>
      </c>
      <c r="D1" s="12" t="s">
        <v>233</v>
      </c>
      <c r="E1" s="12" t="s">
        <v>234</v>
      </c>
      <c r="F1" s="12" t="s">
        <v>235</v>
      </c>
      <c r="G1" s="10" t="s">
        <v>236</v>
      </c>
      <c r="H1" s="12" t="s">
        <v>237</v>
      </c>
      <c r="I1" s="12" t="s">
        <v>238</v>
      </c>
      <c r="J1" s="12" t="s">
        <v>43</v>
      </c>
      <c r="K1" s="12" t="s">
        <v>239</v>
      </c>
      <c r="L1" s="12" t="s">
        <v>240</v>
      </c>
      <c r="M1" s="12" t="s">
        <v>71</v>
      </c>
      <c r="N1" s="11" t="s">
        <v>241</v>
      </c>
    </row>
    <row r="2" customFormat="false" ht="23.85" hidden="false" customHeight="false" outlineLevel="0" collapsed="false">
      <c r="A2" s="13" t="s">
        <v>242</v>
      </c>
      <c r="B2" s="13" t="s">
        <v>125</v>
      </c>
      <c r="C2" s="13" t="s">
        <v>243</v>
      </c>
      <c r="D2" s="13" t="s">
        <v>244</v>
      </c>
      <c r="E2" s="13" t="s">
        <v>245</v>
      </c>
      <c r="F2" s="13" t="s">
        <v>246</v>
      </c>
      <c r="G2" s="13"/>
      <c r="H2" s="13"/>
      <c r="I2" s="13"/>
      <c r="J2" s="13" t="s">
        <v>82</v>
      </c>
      <c r="K2" s="13"/>
      <c r="L2" s="13"/>
      <c r="M2" s="13"/>
      <c r="N2" s="15" t="str">
        <f aca="false">IF(COUNTIF(Facts!$A:$A,B2)=0,"Fact id not found","OK")</f>
        <v>OK</v>
      </c>
    </row>
    <row r="3" customFormat="false" ht="23.85" hidden="false" customHeight="false" outlineLevel="0" collapsed="false">
      <c r="A3" s="13" t="s">
        <v>247</v>
      </c>
      <c r="B3" s="13" t="s">
        <v>125</v>
      </c>
      <c r="C3" s="13" t="s">
        <v>248</v>
      </c>
      <c r="D3" s="13" t="s">
        <v>249</v>
      </c>
      <c r="E3" s="13"/>
      <c r="F3" s="13" t="s">
        <v>250</v>
      </c>
      <c r="G3" s="13"/>
      <c r="H3" s="13"/>
      <c r="I3" s="13"/>
      <c r="J3" s="13" t="s">
        <v>82</v>
      </c>
      <c r="K3" s="13"/>
      <c r="L3" s="13"/>
      <c r="M3" s="13"/>
      <c r="N3" s="15" t="str">
        <f aca="false">IF(COUNTIF(Facts!$A:$A,B3)=0,"Fact id not found","OK")</f>
        <v>OK</v>
      </c>
    </row>
    <row r="4" customFormat="false" ht="57.45" hidden="false" customHeight="false" outlineLevel="0" collapsed="false">
      <c r="A4" s="13" t="s">
        <v>251</v>
      </c>
      <c r="B4" s="13" t="s">
        <v>125</v>
      </c>
      <c r="C4" s="13" t="s">
        <v>252</v>
      </c>
      <c r="D4" s="13" t="s">
        <v>253</v>
      </c>
      <c r="E4" s="13"/>
      <c r="F4" s="13" t="s">
        <v>254</v>
      </c>
      <c r="G4" s="13"/>
      <c r="H4" s="13"/>
      <c r="I4" s="13"/>
      <c r="J4" s="13" t="s">
        <v>82</v>
      </c>
      <c r="K4" s="13"/>
      <c r="L4" s="13"/>
      <c r="M4" s="13"/>
      <c r="N4" s="15" t="str">
        <f aca="false">IF(COUNTIF(Facts!$A:$A,B4)=0,"Fact id not found","OK")</f>
        <v>OK</v>
      </c>
    </row>
    <row r="5" customFormat="false" ht="35.05" hidden="false" customHeight="false" outlineLevel="0" collapsed="false">
      <c r="A5" s="13" t="s">
        <v>255</v>
      </c>
      <c r="B5" s="13" t="s">
        <v>130</v>
      </c>
      <c r="C5" s="13" t="s">
        <v>256</v>
      </c>
      <c r="D5" s="13" t="s">
        <v>257</v>
      </c>
      <c r="E5" s="13"/>
      <c r="F5" s="13" t="s">
        <v>258</v>
      </c>
      <c r="G5" s="13"/>
      <c r="H5" s="13"/>
      <c r="I5" s="13"/>
      <c r="J5" s="13" t="s">
        <v>82</v>
      </c>
      <c r="K5" s="13"/>
      <c r="L5" s="13"/>
      <c r="M5" s="13"/>
      <c r="N5" s="15" t="str">
        <f aca="false">IF(COUNTIF(Facts!$A:$A,B5)=0,"Fact id not found","OK")</f>
        <v>OK</v>
      </c>
    </row>
    <row r="6" customFormat="false" ht="35.05" hidden="false" customHeight="false" outlineLevel="0" collapsed="false">
      <c r="A6" s="13" t="s">
        <v>259</v>
      </c>
      <c r="B6" s="13" t="s">
        <v>130</v>
      </c>
      <c r="C6" s="13" t="s">
        <v>260</v>
      </c>
      <c r="D6" s="13" t="s">
        <v>261</v>
      </c>
      <c r="E6" s="13"/>
      <c r="F6" s="13" t="s">
        <v>262</v>
      </c>
      <c r="G6" s="13"/>
      <c r="H6" s="13"/>
      <c r="I6" s="13"/>
      <c r="J6" s="13" t="s">
        <v>82</v>
      </c>
      <c r="K6" s="13"/>
      <c r="L6" s="13"/>
      <c r="M6" s="13"/>
      <c r="N6" s="15" t="str">
        <f aca="false">IF(COUNTIF(Facts!$A:$A,B6)=0,"Fact id not found","OK")</f>
        <v>OK</v>
      </c>
    </row>
    <row r="7" customFormat="false" ht="57.45" hidden="false" customHeight="false" outlineLevel="0" collapsed="false">
      <c r="A7" s="13" t="s">
        <v>263</v>
      </c>
      <c r="B7" s="13" t="s">
        <v>130</v>
      </c>
      <c r="C7" s="13" t="s">
        <v>264</v>
      </c>
      <c r="D7" s="13" t="s">
        <v>265</v>
      </c>
      <c r="E7" s="13"/>
      <c r="F7" s="13" t="s">
        <v>266</v>
      </c>
      <c r="G7" s="13"/>
      <c r="H7" s="13"/>
      <c r="I7" s="13"/>
      <c r="J7" s="13" t="s">
        <v>82</v>
      </c>
      <c r="K7" s="13"/>
      <c r="L7" s="13"/>
      <c r="M7" s="13"/>
      <c r="N7" s="15" t="str">
        <f aca="false">IF(COUNTIF(Facts!$A:$A,B7)=0,"Fact id not found","OK")</f>
        <v>OK</v>
      </c>
    </row>
    <row r="8" customFormat="false" ht="35.05" hidden="false" customHeight="false" outlineLevel="0" collapsed="false">
      <c r="A8" s="13" t="s">
        <v>267</v>
      </c>
      <c r="B8" s="13" t="s">
        <v>130</v>
      </c>
      <c r="C8" s="13" t="s">
        <v>268</v>
      </c>
      <c r="D8" s="13" t="s">
        <v>269</v>
      </c>
      <c r="E8" s="13"/>
      <c r="F8" s="13" t="s">
        <v>270</v>
      </c>
      <c r="G8" s="13"/>
      <c r="H8" s="13"/>
      <c r="I8" s="13"/>
      <c r="J8" s="13" t="s">
        <v>82</v>
      </c>
      <c r="K8" s="13"/>
      <c r="L8" s="13"/>
      <c r="M8" s="13"/>
      <c r="N8" s="15" t="str">
        <f aca="false">IF(COUNTIF(Facts!$A:$A,B8)=0,"Fact id not found","OK")</f>
        <v>OK</v>
      </c>
    </row>
    <row r="9" customFormat="false" ht="46.25" hidden="false" customHeight="false" outlineLevel="0" collapsed="false">
      <c r="A9" s="13" t="s">
        <v>271</v>
      </c>
      <c r="B9" s="13" t="s">
        <v>148</v>
      </c>
      <c r="C9" s="13" t="s">
        <v>272</v>
      </c>
      <c r="D9" s="13" t="s">
        <v>265</v>
      </c>
      <c r="E9" s="13"/>
      <c r="F9" s="13" t="s">
        <v>273</v>
      </c>
      <c r="G9" s="13"/>
      <c r="H9" s="13"/>
      <c r="I9" s="13"/>
      <c r="J9" s="13" t="s">
        <v>82</v>
      </c>
      <c r="K9" s="13"/>
      <c r="L9" s="13"/>
      <c r="M9" s="13"/>
      <c r="N9" s="15" t="str">
        <f aca="false">IF(COUNTIF(Facts!$A:$A,B9)=0,"Fact id not found","OK")</f>
        <v>OK</v>
      </c>
    </row>
    <row r="10" customFormat="false" ht="23.85" hidden="false" customHeight="false" outlineLevel="0" collapsed="false">
      <c r="A10" s="13" t="s">
        <v>274</v>
      </c>
      <c r="B10" s="13" t="s">
        <v>148</v>
      </c>
      <c r="C10" s="13" t="s">
        <v>275</v>
      </c>
      <c r="D10" s="13" t="s">
        <v>276</v>
      </c>
      <c r="E10" s="13"/>
      <c r="F10" s="13" t="s">
        <v>277</v>
      </c>
      <c r="G10" s="13"/>
      <c r="H10" s="13"/>
      <c r="I10" s="13"/>
      <c r="J10" s="13" t="s">
        <v>82</v>
      </c>
      <c r="K10" s="13"/>
      <c r="L10" s="13"/>
      <c r="M10" s="13"/>
      <c r="N10" s="15" t="str">
        <f aca="false">IF(COUNTIF(Facts!$A:$A,B10)=0,"Fact id not found","OK")</f>
        <v>OK</v>
      </c>
    </row>
    <row r="11" customFormat="false" ht="23.85" hidden="false" customHeight="false" outlineLevel="0" collapsed="false">
      <c r="A11" s="13" t="s">
        <v>278</v>
      </c>
      <c r="B11" s="13" t="s">
        <v>148</v>
      </c>
      <c r="C11" s="13" t="s">
        <v>279</v>
      </c>
      <c r="D11" s="13" t="s">
        <v>280</v>
      </c>
      <c r="E11" s="13"/>
      <c r="F11" s="13" t="s">
        <v>281</v>
      </c>
      <c r="G11" s="13"/>
      <c r="H11" s="13"/>
      <c r="I11" s="13"/>
      <c r="J11" s="13" t="s">
        <v>82</v>
      </c>
      <c r="K11" s="13"/>
      <c r="L11" s="13"/>
      <c r="M11" s="13"/>
      <c r="N11" s="15" t="str">
        <f aca="false">IF(COUNTIF(Facts!$A:$A,B11)=0,"Fact id not found","OK")</f>
        <v>OK</v>
      </c>
    </row>
    <row r="12" customFormat="false" ht="23.85" hidden="false" customHeight="false" outlineLevel="0" collapsed="false">
      <c r="A12" s="13" t="s">
        <v>282</v>
      </c>
      <c r="B12" s="13" t="s">
        <v>178</v>
      </c>
      <c r="C12" s="13" t="s">
        <v>283</v>
      </c>
      <c r="D12" s="13" t="s">
        <v>284</v>
      </c>
      <c r="E12" s="13"/>
      <c r="F12" s="13" t="s">
        <v>285</v>
      </c>
      <c r="G12" s="13"/>
      <c r="H12" s="13"/>
      <c r="I12" s="13"/>
      <c r="J12" s="13" t="s">
        <v>82</v>
      </c>
      <c r="K12" s="13"/>
      <c r="L12" s="13"/>
      <c r="M12" s="13"/>
      <c r="N12" s="15" t="str">
        <f aca="false">IF(COUNTIF(Facts!$A:$A,B12)=0,"Fact id not found","OK")</f>
        <v>OK</v>
      </c>
    </row>
    <row r="13" customFormat="false" ht="35.05" hidden="false" customHeight="false" outlineLevel="0" collapsed="false">
      <c r="A13" s="13" t="s">
        <v>286</v>
      </c>
      <c r="B13" s="13" t="s">
        <v>178</v>
      </c>
      <c r="C13" s="13" t="s">
        <v>287</v>
      </c>
      <c r="D13" s="13" t="s">
        <v>288</v>
      </c>
      <c r="E13" s="13"/>
      <c r="F13" s="13" t="s">
        <v>289</v>
      </c>
      <c r="G13" s="13"/>
      <c r="H13" s="13"/>
      <c r="I13" s="13"/>
      <c r="J13" s="13" t="s">
        <v>82</v>
      </c>
      <c r="K13" s="13"/>
      <c r="L13" s="13"/>
      <c r="M13" s="13"/>
      <c r="N13" s="15" t="str">
        <f aca="false">IF(COUNTIF(Facts!$A:$A,B13)=0,"Fact id not found","OK")</f>
        <v>OK</v>
      </c>
    </row>
    <row r="14" customFormat="false" ht="23.85" hidden="false" customHeight="false" outlineLevel="0" collapsed="false">
      <c r="A14" s="13" t="s">
        <v>290</v>
      </c>
      <c r="B14" s="13" t="s">
        <v>166</v>
      </c>
      <c r="C14" s="13" t="s">
        <v>291</v>
      </c>
      <c r="D14" s="13" t="s">
        <v>292</v>
      </c>
      <c r="E14" s="13"/>
      <c r="F14" s="13" t="s">
        <v>293</v>
      </c>
      <c r="G14" s="13"/>
      <c r="H14" s="13"/>
      <c r="I14" s="13"/>
      <c r="J14" s="13" t="s">
        <v>82</v>
      </c>
      <c r="K14" s="13"/>
      <c r="L14" s="13"/>
      <c r="M14" s="13"/>
      <c r="N14" s="15" t="str">
        <f aca="false">IF(COUNTIF(Facts!$A:$A,B14)=0,"Fact id not found","OK")</f>
        <v>OK</v>
      </c>
    </row>
    <row r="15" customFormat="false" ht="23.85" hidden="false" customHeight="false" outlineLevel="0" collapsed="false">
      <c r="A15" s="13" t="s">
        <v>294</v>
      </c>
      <c r="B15" s="13" t="s">
        <v>184</v>
      </c>
      <c r="C15" s="13" t="s">
        <v>295</v>
      </c>
      <c r="D15" s="13" t="s">
        <v>296</v>
      </c>
      <c r="E15" s="13" t="s">
        <v>297</v>
      </c>
      <c r="F15" s="13" t="s">
        <v>298</v>
      </c>
      <c r="G15" s="13"/>
      <c r="H15" s="13"/>
      <c r="I15" s="13"/>
      <c r="J15" s="13" t="s">
        <v>82</v>
      </c>
      <c r="K15" s="13"/>
      <c r="L15" s="13"/>
      <c r="M15" s="13"/>
      <c r="N15" s="15" t="str">
        <f aca="false">IF(COUNTIF(Facts!$A:$A,B15)=0,"Fact id not found","OK")</f>
        <v>OK</v>
      </c>
    </row>
    <row r="16" customFormat="false" ht="35.05" hidden="false" customHeight="false" outlineLevel="0" collapsed="false">
      <c r="A16" s="13" t="s">
        <v>299</v>
      </c>
      <c r="B16" s="13" t="s">
        <v>184</v>
      </c>
      <c r="C16" s="13" t="s">
        <v>300</v>
      </c>
      <c r="D16" s="13" t="s">
        <v>301</v>
      </c>
      <c r="E16" s="13"/>
      <c r="F16" s="13" t="s">
        <v>302</v>
      </c>
      <c r="G16" s="13"/>
      <c r="H16" s="13"/>
      <c r="I16" s="13"/>
      <c r="J16" s="13" t="s">
        <v>82</v>
      </c>
      <c r="K16" s="13"/>
      <c r="L16" s="13"/>
      <c r="M16" s="13"/>
      <c r="N16" s="15" t="str">
        <f aca="false">IF(COUNTIF(Facts!$A:$A,B16)=0,"Fact id not found","OK")</f>
        <v>OK</v>
      </c>
    </row>
    <row r="17" customFormat="false" ht="68.65" hidden="false" customHeight="false" outlineLevel="0" collapsed="false">
      <c r="A17" s="13" t="s">
        <v>303</v>
      </c>
      <c r="B17" s="13" t="s">
        <v>184</v>
      </c>
      <c r="C17" s="13" t="s">
        <v>304</v>
      </c>
      <c r="D17" s="13" t="s">
        <v>305</v>
      </c>
      <c r="E17" s="13"/>
      <c r="F17" s="13" t="s">
        <v>306</v>
      </c>
      <c r="G17" s="13"/>
      <c r="H17" s="13"/>
      <c r="I17" s="13"/>
      <c r="J17" s="13" t="s">
        <v>82</v>
      </c>
      <c r="K17" s="13"/>
      <c r="L17" s="13"/>
      <c r="M17" s="13"/>
      <c r="N17" s="15" t="str">
        <f aca="false">IF(COUNTIF(Facts!$A:$A,B17)=0,"Fact id not found","OK")</f>
        <v>OK</v>
      </c>
    </row>
    <row r="18" customFormat="false" ht="35.05" hidden="false" customHeight="false" outlineLevel="0" collapsed="false">
      <c r="A18" s="13" t="s">
        <v>307</v>
      </c>
      <c r="B18" s="13" t="s">
        <v>200</v>
      </c>
      <c r="C18" s="13" t="s">
        <v>308</v>
      </c>
      <c r="D18" s="13" t="s">
        <v>309</v>
      </c>
      <c r="E18" s="13"/>
      <c r="F18" s="13" t="s">
        <v>310</v>
      </c>
      <c r="G18" s="13"/>
      <c r="H18" s="13"/>
      <c r="I18" s="13"/>
      <c r="J18" s="13" t="s">
        <v>82</v>
      </c>
      <c r="K18" s="13"/>
      <c r="L18" s="13"/>
      <c r="M18" s="13"/>
      <c r="N18" s="15" t="str">
        <f aca="false">IF(COUNTIF(Facts!$A:$A,B18)=0,"Fact id not found","OK")</f>
        <v>OK</v>
      </c>
    </row>
    <row r="19" customFormat="false" ht="23.85" hidden="false" customHeight="false" outlineLevel="0" collapsed="false">
      <c r="A19" s="13" t="s">
        <v>311</v>
      </c>
      <c r="B19" s="13" t="s">
        <v>200</v>
      </c>
      <c r="C19" s="13" t="s">
        <v>312</v>
      </c>
      <c r="D19" s="13" t="s">
        <v>313</v>
      </c>
      <c r="E19" s="13"/>
      <c r="F19" s="13" t="s">
        <v>314</v>
      </c>
      <c r="G19" s="13"/>
      <c r="H19" s="13"/>
      <c r="I19" s="13"/>
      <c r="J19" s="13" t="s">
        <v>82</v>
      </c>
      <c r="K19" s="13"/>
      <c r="L19" s="13"/>
      <c r="M19" s="13"/>
      <c r="N19" s="15" t="str">
        <f aca="false">IF(COUNTIF(Facts!$A:$A,B19)=0,"Fact id not found","OK")</f>
        <v>OK</v>
      </c>
    </row>
    <row r="20" customFormat="false" ht="68.65" hidden="false" customHeight="false" outlineLevel="0" collapsed="false">
      <c r="A20" s="13" t="s">
        <v>315</v>
      </c>
      <c r="B20" s="13" t="s">
        <v>200</v>
      </c>
      <c r="C20" s="13" t="s">
        <v>316</v>
      </c>
      <c r="D20" s="13" t="s">
        <v>305</v>
      </c>
      <c r="E20" s="13"/>
      <c r="F20" s="13" t="s">
        <v>317</v>
      </c>
      <c r="G20" s="13"/>
      <c r="H20" s="13"/>
      <c r="I20" s="13"/>
      <c r="J20" s="13" t="s">
        <v>82</v>
      </c>
      <c r="K20" s="13"/>
      <c r="L20" s="13"/>
      <c r="M20" s="13"/>
      <c r="N20" s="15" t="str">
        <f aca="false">IF(COUNTIF(Facts!$A:$A,B20)=0,"Fact id not found","OK")</f>
        <v>OK</v>
      </c>
    </row>
    <row r="21" customFormat="false" ht="23.85" hidden="false" customHeight="false" outlineLevel="0" collapsed="false">
      <c r="A21" s="13" t="s">
        <v>318</v>
      </c>
      <c r="B21" s="13" t="s">
        <v>220</v>
      </c>
      <c r="C21" s="13" t="s">
        <v>319</v>
      </c>
      <c r="D21" s="13" t="s">
        <v>320</v>
      </c>
      <c r="E21" s="13"/>
      <c r="F21" s="13" t="s">
        <v>321</v>
      </c>
      <c r="G21" s="13"/>
      <c r="H21" s="13"/>
      <c r="I21" s="13"/>
      <c r="J21" s="13" t="s">
        <v>82</v>
      </c>
      <c r="K21" s="13"/>
      <c r="L21" s="13"/>
      <c r="M21" s="13"/>
      <c r="N21" s="15" t="str">
        <f aca="false">IF(COUNTIF(Facts!$A:$A,B21)=0,"Fact id not found","OK")</f>
        <v>OK</v>
      </c>
    </row>
    <row r="22" customFormat="false" ht="23.85" hidden="false" customHeight="false" outlineLevel="0" collapsed="false">
      <c r="A22" s="13" t="s">
        <v>322</v>
      </c>
      <c r="B22" s="13" t="s">
        <v>220</v>
      </c>
      <c r="C22" s="13" t="s">
        <v>323</v>
      </c>
      <c r="D22" s="13" t="s">
        <v>324</v>
      </c>
      <c r="E22" s="13"/>
      <c r="F22" s="13" t="s">
        <v>325</v>
      </c>
      <c r="G22" s="13"/>
      <c r="H22" s="13"/>
      <c r="I22" s="13"/>
      <c r="J22" s="13" t="s">
        <v>82</v>
      </c>
      <c r="K22" s="13"/>
      <c r="L22" s="13"/>
      <c r="M22" s="13"/>
      <c r="N22" s="15" t="str">
        <f aca="false">IF(COUNTIF(Facts!$A:$A,B22)=0,"Fact id not found","OK")</f>
        <v>OK</v>
      </c>
    </row>
    <row r="23" customFormat="false" ht="46.25" hidden="false" customHeight="false" outlineLevel="0" collapsed="false">
      <c r="A23" s="13" t="s">
        <v>326</v>
      </c>
      <c r="B23" s="13" t="s">
        <v>220</v>
      </c>
      <c r="C23" s="13" t="s">
        <v>327</v>
      </c>
      <c r="D23" s="13" t="s">
        <v>265</v>
      </c>
      <c r="E23" s="13"/>
      <c r="F23" s="13" t="s">
        <v>328</v>
      </c>
      <c r="G23" s="13"/>
      <c r="H23" s="13"/>
      <c r="I23" s="13"/>
      <c r="J23" s="13" t="s">
        <v>82</v>
      </c>
      <c r="K23" s="13"/>
      <c r="L23" s="13"/>
      <c r="M23" s="13"/>
      <c r="N23" s="15" t="str">
        <f aca="false">IF(COUNTIF(Facts!$A:$A,B23)=0,"Fact id not found","OK")</f>
        <v>OK</v>
      </c>
    </row>
  </sheetData>
  <autoFilter ref="A1:N23"/>
  <conditionalFormatting sqref="N2:N300">
    <cfRule type="expression" priority="2" aboveAverage="0" equalAverage="0" bottom="0" percent="0" rank="0" text="" dxfId="9">
      <formula>N2&lt;&gt;"OK"</formula>
    </cfRule>
  </conditionalFormatting>
  <dataValidations count="4">
    <dataValidation allowBlank="true" error="Pick a value from the dropdown. To add a new option, add it on the Lists tab." errorStyle="stop" errorTitle="Not in the list" operator="between" showDropDown="false" showErrorMessage="true" showInputMessage="false" sqref="B2:B300" type="list">
      <formula1>Facts!$A$2:$A$300</formula1>
      <formula2>0</formula2>
    </dataValidation>
    <dataValidation allowBlank="true" error="Pick a value from the dropdown. To add a new option, add it on the Lists tab." errorStyle="stop" errorTitle="Not in the list" operator="between" showDropDown="false" showErrorMessage="true" showInputMessage="false" sqref="H2:H300" type="list">
      <formula1>Lists!$F$2:$F$6</formula1>
      <formula2>0</formula2>
    </dataValidation>
    <dataValidation allowBlank="true" error="Pick a value from the dropdown. To add a new option, add it on the Lists tab." errorStyle="stop" errorTitle="Not in the list" operator="between" showDropDown="false" showErrorMessage="true" showInputMessage="false" sqref="I2:I300" type="list">
      <formula1>Lists!$G$2:$G$5</formula1>
      <formula2>0</formula2>
    </dataValidation>
    <dataValidation allowBlank="true" error="Pick a value from the dropdown. To add a new option, add it on the Lists tab." errorStyle="stop" errorTitle="Not in the list" operator="between" showDropDown="false" showErrorMessage="true" showInputMessage="false" sqref="J2:J300" type="list">
      <formula1>Lists!$B$2:$B$3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34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9" t="s">
        <v>329</v>
      </c>
      <c r="B1" s="9" t="s">
        <v>65</v>
      </c>
      <c r="C1" s="10" t="s">
        <v>330</v>
      </c>
      <c r="D1" s="10" t="s">
        <v>331</v>
      </c>
      <c r="E1" s="9" t="s">
        <v>332</v>
      </c>
      <c r="F1" s="9" t="s">
        <v>333</v>
      </c>
      <c r="G1" s="9" t="s">
        <v>232</v>
      </c>
      <c r="H1" s="9" t="s">
        <v>103</v>
      </c>
      <c r="I1" s="12" t="s">
        <v>104</v>
      </c>
      <c r="J1" s="12" t="s">
        <v>231</v>
      </c>
      <c r="K1" s="12" t="s">
        <v>71</v>
      </c>
      <c r="L1" s="11" t="s">
        <v>144</v>
      </c>
    </row>
    <row r="2" customFormat="false" ht="15" hidden="false" customHeight="false" outlineLevel="0" collapsed="false">
      <c r="A2" s="13" t="s">
        <v>334</v>
      </c>
      <c r="B2" s="13" t="n">
        <v>1</v>
      </c>
      <c r="C2" s="13" t="s">
        <v>335</v>
      </c>
      <c r="D2" s="13" t="s">
        <v>336</v>
      </c>
      <c r="E2" s="13" t="n">
        <v>-4</v>
      </c>
      <c r="F2" s="13" t="n">
        <v>-1</v>
      </c>
      <c r="G2" s="13" t="s">
        <v>112</v>
      </c>
      <c r="H2" s="13" t="s">
        <v>117</v>
      </c>
      <c r="I2" s="13" t="s">
        <v>41</v>
      </c>
      <c r="J2" s="13"/>
      <c r="K2" s="13"/>
      <c r="L2" s="15" t="str">
        <f aca="false">IF(F2&lt;E2,"Check: ends before it starts",IF(AND(G2&lt;&gt;"",COUNTIF(Facts!$A:$A,G2)=0),"Fact id not found","OK"))</f>
        <v>OK</v>
      </c>
    </row>
    <row r="3" customFormat="false" ht="15" hidden="false" customHeight="false" outlineLevel="0" collapsed="false">
      <c r="A3" s="13" t="s">
        <v>337</v>
      </c>
      <c r="B3" s="13" t="n">
        <v>2</v>
      </c>
      <c r="C3" s="13" t="s">
        <v>127</v>
      </c>
      <c r="D3" s="13" t="s">
        <v>338</v>
      </c>
      <c r="E3" s="13" t="n">
        <v>0</v>
      </c>
      <c r="F3" s="13" t="n">
        <v>1</v>
      </c>
      <c r="G3" s="13" t="s">
        <v>125</v>
      </c>
      <c r="H3" s="13" t="s">
        <v>117</v>
      </c>
      <c r="I3" s="13" t="s">
        <v>41</v>
      </c>
      <c r="J3" s="13"/>
      <c r="K3" s="13"/>
      <c r="L3" s="15" t="str">
        <f aca="false">IF(F3&lt;E3,"Check: ends before it starts",IF(AND(G3&lt;&gt;"",COUNTIF(Facts!$A:$A,G3)=0),"Fact id not found","OK"))</f>
        <v>OK</v>
      </c>
    </row>
    <row r="4" customFormat="false" ht="23.85" hidden="false" customHeight="false" outlineLevel="0" collapsed="false">
      <c r="A4" s="13" t="s">
        <v>339</v>
      </c>
      <c r="B4" s="13" t="n">
        <v>3</v>
      </c>
      <c r="C4" s="13" t="s">
        <v>340</v>
      </c>
      <c r="D4" s="13" t="s">
        <v>341</v>
      </c>
      <c r="E4" s="13" t="n">
        <v>0</v>
      </c>
      <c r="F4" s="13" t="n">
        <v>1</v>
      </c>
      <c r="G4" s="13" t="s">
        <v>130</v>
      </c>
      <c r="H4" s="13" t="s">
        <v>117</v>
      </c>
      <c r="I4" s="13" t="s">
        <v>41</v>
      </c>
      <c r="J4" s="13"/>
      <c r="K4" s="13" t="s">
        <v>342</v>
      </c>
      <c r="L4" s="15" t="str">
        <f aca="false">IF(F4&lt;E4,"Check: ends before it starts",IF(AND(G4&lt;&gt;"",COUNTIF(Facts!$A:$A,G4)=0),"Fact id not found","OK"))</f>
        <v>OK</v>
      </c>
    </row>
    <row r="5" customFormat="false" ht="15" hidden="false" customHeight="false" outlineLevel="0" collapsed="false">
      <c r="A5" s="13" t="s">
        <v>343</v>
      </c>
      <c r="B5" s="13" t="n">
        <v>4</v>
      </c>
      <c r="C5" s="13" t="s">
        <v>344</v>
      </c>
      <c r="D5" s="13" t="s">
        <v>345</v>
      </c>
      <c r="E5" s="13" t="n">
        <v>1</v>
      </c>
      <c r="F5" s="13" t="n">
        <v>3</v>
      </c>
      <c r="G5" s="13" t="s">
        <v>184</v>
      </c>
      <c r="H5" s="13" t="s">
        <v>188</v>
      </c>
      <c r="I5" s="13" t="s">
        <v>41</v>
      </c>
      <c r="J5" s="13"/>
      <c r="K5" s="13"/>
      <c r="L5" s="15" t="str">
        <f aca="false">IF(F5&lt;E5,"Check: ends before it starts",IF(AND(G5&lt;&gt;"",COUNTIF(Facts!$A:$A,G5)=0),"Fact id not found","OK"))</f>
        <v>OK</v>
      </c>
    </row>
    <row r="6" customFormat="false" ht="15" hidden="false" customHeight="false" outlineLevel="0" collapsed="false">
      <c r="A6" s="13" t="s">
        <v>346</v>
      </c>
      <c r="B6" s="13" t="n">
        <v>5</v>
      </c>
      <c r="C6" s="13" t="s">
        <v>347</v>
      </c>
      <c r="D6" s="13" t="s">
        <v>348</v>
      </c>
      <c r="E6" s="13" t="n">
        <v>2</v>
      </c>
      <c r="F6" s="13" t="n">
        <v>3</v>
      </c>
      <c r="G6" s="13"/>
      <c r="H6" s="13" t="s">
        <v>117</v>
      </c>
      <c r="I6" s="13" t="s">
        <v>41</v>
      </c>
      <c r="J6" s="13"/>
      <c r="K6" s="13"/>
      <c r="L6" s="15" t="str">
        <f aca="false">IF(F6&lt;E6,"Check: ends before it starts",IF(AND(G6&lt;&gt;"",COUNTIF(Facts!$A:$A,G6)=0),"Fact id not found","OK"))</f>
        <v>OK</v>
      </c>
    </row>
    <row r="7" customFormat="false" ht="15" hidden="false" customHeight="false" outlineLevel="0" collapsed="false">
      <c r="A7" s="13" t="s">
        <v>349</v>
      </c>
      <c r="B7" s="13" t="n">
        <v>6</v>
      </c>
      <c r="C7" s="13" t="s">
        <v>350</v>
      </c>
      <c r="D7" s="13" t="s">
        <v>351</v>
      </c>
      <c r="E7" s="13" t="n">
        <v>3</v>
      </c>
      <c r="F7" s="13" t="n">
        <v>5</v>
      </c>
      <c r="G7" s="13" t="s">
        <v>136</v>
      </c>
      <c r="H7" s="13" t="s">
        <v>117</v>
      </c>
      <c r="I7" s="13" t="s">
        <v>41</v>
      </c>
      <c r="J7" s="13"/>
      <c r="K7" s="13"/>
      <c r="L7" s="15" t="str">
        <f aca="false">IF(F7&lt;E7,"Check: ends before it starts",IF(AND(G7&lt;&gt;"",COUNTIF(Facts!$A:$A,G7)=0),"Fact id not found","OK"))</f>
        <v>OK</v>
      </c>
    </row>
    <row r="8" customFormat="false" ht="15" hidden="false" customHeight="false" outlineLevel="0" collapsed="false">
      <c r="A8" s="13" t="s">
        <v>352</v>
      </c>
      <c r="B8" s="13" t="n">
        <v>7</v>
      </c>
      <c r="C8" s="13" t="s">
        <v>353</v>
      </c>
      <c r="D8" s="13" t="s">
        <v>354</v>
      </c>
      <c r="E8" s="13" t="n">
        <v>6</v>
      </c>
      <c r="F8" s="13" t="n">
        <v>7</v>
      </c>
      <c r="G8" s="13"/>
      <c r="H8" s="13" t="s">
        <v>117</v>
      </c>
      <c r="I8" s="13" t="s">
        <v>41</v>
      </c>
      <c r="J8" s="13"/>
      <c r="K8" s="13"/>
      <c r="L8" s="15" t="str">
        <f aca="false">IF(F8&lt;E8,"Check: ends before it starts",IF(AND(G8&lt;&gt;"",COUNTIF(Facts!$A:$A,G8)=0),"Fact id not found","OK"))</f>
        <v>OK</v>
      </c>
    </row>
    <row r="9" customFormat="false" ht="15" hidden="false" customHeight="false" outlineLevel="0" collapsed="false">
      <c r="A9" s="13" t="s">
        <v>355</v>
      </c>
      <c r="B9" s="13" t="n">
        <v>8</v>
      </c>
      <c r="C9" s="13" t="s">
        <v>356</v>
      </c>
      <c r="D9" s="13" t="s">
        <v>357</v>
      </c>
      <c r="E9" s="13" t="n">
        <v>17</v>
      </c>
      <c r="F9" s="13" t="n">
        <v>21</v>
      </c>
      <c r="G9" s="13"/>
      <c r="H9" s="13" t="s">
        <v>117</v>
      </c>
      <c r="I9" s="13" t="s">
        <v>41</v>
      </c>
      <c r="J9" s="13"/>
      <c r="K9" s="13"/>
      <c r="L9" s="15" t="str">
        <f aca="false">IF(F9&lt;E9,"Check: ends before it starts",IF(AND(G9&lt;&gt;"",COUNTIF(Facts!$A:$A,G9)=0),"Fact id not found","OK"))</f>
        <v>OK</v>
      </c>
    </row>
    <row r="10" customFormat="false" ht="23.85" hidden="false" customHeight="false" outlineLevel="0" collapsed="false">
      <c r="A10" s="13" t="s">
        <v>358</v>
      </c>
      <c r="B10" s="13" t="n">
        <v>9</v>
      </c>
      <c r="C10" s="13" t="s">
        <v>359</v>
      </c>
      <c r="D10" s="13" t="s">
        <v>360</v>
      </c>
      <c r="E10" s="13" t="n">
        <v>19</v>
      </c>
      <c r="F10" s="13" t="n">
        <v>23</v>
      </c>
      <c r="G10" s="13" t="s">
        <v>215</v>
      </c>
      <c r="H10" s="13" t="s">
        <v>117</v>
      </c>
      <c r="I10" s="13" t="s">
        <v>41</v>
      </c>
      <c r="J10" s="13"/>
      <c r="K10" s="13"/>
      <c r="L10" s="15" t="str">
        <f aca="false">IF(F10&lt;E10,"Check: ends before it starts",IF(AND(G10&lt;&gt;"",COUNTIF(Facts!$A:$A,G10)=0),"Fact id not found","OK"))</f>
        <v>OK</v>
      </c>
    </row>
  </sheetData>
  <autoFilter ref="A1:L10"/>
  <conditionalFormatting sqref="L2:L300">
    <cfRule type="expression" priority="2" aboveAverage="0" equalAverage="0" bottom="0" percent="0" rank="0" text="" dxfId="9">
      <formula>L2&lt;&gt;"OK"</formula>
    </cfRule>
  </conditionalFormatting>
  <dataValidations count="4">
    <dataValidation allowBlank="true" error="Pick a value from the dropdown. To add a new option, add it on the Lists tab." errorStyle="stop" errorTitle="Not in the list" operator="between" showDropDown="false" showErrorMessage="true" showInputMessage="false" sqref="G2:G300" type="list">
      <formula1>Facts!$A$2:$A$300</formula1>
      <formula2>0</formula2>
    </dataValidation>
    <dataValidation allowBlank="true" error="Pick a value from the dropdown. To add a new option, add it on the Lists tab." errorStyle="stop" errorTitle="Not in the list" operator="between" showDropDown="false" showErrorMessage="true" showInputMessage="false" sqref="H2:H300" type="list">
      <formula1>Lists!$E$2:$E$9</formula1>
      <formula2>0</formula2>
    </dataValidation>
    <dataValidation allowBlank="true" error="Pick a value from the dropdown. To add a new option, add it on the Lists tab." errorStyle="stop" errorTitle="Not in the list" operator="between" showDropDown="false" showErrorMessage="true" showInputMessage="false" sqref="I2:I300" type="list">
      <formula1>Lists!$A$2:$A$5</formula1>
      <formula2>0</formula2>
    </dataValidation>
    <dataValidation allowBlank="true" error="Pick a value from the dropdown. To add a new option, add it on the Lists tab." errorStyle="stop" errorTitle="Not in the list" operator="between" showDropDown="false" showErrorMessage="true" showInputMessage="false" sqref="J2:J300" type="list">
      <formula1>Sources!$A$2:$A$300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4" min="4" style="0" width="8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9" t="s">
        <v>64</v>
      </c>
      <c r="B1" s="9" t="s">
        <v>65</v>
      </c>
      <c r="C1" s="10" t="s">
        <v>361</v>
      </c>
      <c r="D1" s="9" t="s">
        <v>362</v>
      </c>
      <c r="E1" s="12" t="s">
        <v>71</v>
      </c>
    </row>
    <row r="2" customFormat="false" ht="15" hidden="false" customHeight="false" outlineLevel="0" collapsed="false">
      <c r="A2" s="13" t="s">
        <v>76</v>
      </c>
      <c r="B2" s="13" t="n">
        <v>1</v>
      </c>
      <c r="C2" s="13" t="s">
        <v>363</v>
      </c>
      <c r="D2" s="13" t="s">
        <v>75</v>
      </c>
      <c r="E2" s="13"/>
    </row>
    <row r="3" customFormat="false" ht="15" hidden="false" customHeight="false" outlineLevel="0" collapsed="false">
      <c r="A3" s="13" t="s">
        <v>76</v>
      </c>
      <c r="B3" s="13" t="n">
        <v>2</v>
      </c>
      <c r="C3" s="13" t="s">
        <v>364</v>
      </c>
      <c r="D3" s="13" t="s">
        <v>75</v>
      </c>
      <c r="E3" s="13"/>
    </row>
    <row r="4" customFormat="false" ht="15" hidden="false" customHeight="false" outlineLevel="0" collapsed="false">
      <c r="A4" s="13" t="s">
        <v>79</v>
      </c>
      <c r="B4" s="13" t="n">
        <v>3</v>
      </c>
      <c r="C4" s="13" t="s">
        <v>365</v>
      </c>
      <c r="D4" s="13" t="s">
        <v>75</v>
      </c>
      <c r="E4" s="13"/>
    </row>
    <row r="5" customFormat="false" ht="15" hidden="false" customHeight="false" outlineLevel="0" collapsed="false">
      <c r="A5" s="13" t="s">
        <v>72</v>
      </c>
      <c r="B5" s="13" t="n">
        <v>4</v>
      </c>
      <c r="C5" s="13" t="s">
        <v>366</v>
      </c>
      <c r="D5" s="13" t="s">
        <v>75</v>
      </c>
      <c r="E5" s="13"/>
    </row>
    <row r="6" customFormat="false" ht="15" hidden="false" customHeight="false" outlineLevel="0" collapsed="false">
      <c r="A6" s="13" t="s">
        <v>83</v>
      </c>
      <c r="B6" s="13" t="n">
        <v>5</v>
      </c>
      <c r="C6" s="13" t="s">
        <v>367</v>
      </c>
      <c r="D6" s="13" t="s">
        <v>75</v>
      </c>
      <c r="E6" s="13"/>
    </row>
    <row r="7" customFormat="false" ht="15" hidden="false" customHeight="false" outlineLevel="0" collapsed="false">
      <c r="A7" s="13" t="s">
        <v>86</v>
      </c>
      <c r="B7" s="13" t="n">
        <v>6</v>
      </c>
      <c r="C7" s="13" t="s">
        <v>368</v>
      </c>
      <c r="D7" s="13" t="s">
        <v>75</v>
      </c>
      <c r="E7" s="13"/>
    </row>
    <row r="8" customFormat="false" ht="15" hidden="false" customHeight="false" outlineLevel="0" collapsed="false">
      <c r="A8" s="13" t="s">
        <v>89</v>
      </c>
      <c r="B8" s="13" t="n">
        <v>7</v>
      </c>
      <c r="C8" s="13" t="s">
        <v>369</v>
      </c>
      <c r="D8" s="13" t="s">
        <v>75</v>
      </c>
      <c r="E8" s="13"/>
    </row>
    <row r="9" customFormat="false" ht="15" hidden="false" customHeight="false" outlineLevel="0" collapsed="false">
      <c r="A9" s="13" t="s">
        <v>92</v>
      </c>
      <c r="B9" s="13" t="n">
        <v>8</v>
      </c>
      <c r="C9" s="13" t="s">
        <v>370</v>
      </c>
      <c r="D9" s="13" t="s">
        <v>75</v>
      </c>
      <c r="E9" s="13"/>
    </row>
  </sheetData>
  <autoFilter ref="A1:E9"/>
  <dataValidations count="2">
    <dataValidation allowBlank="true" error="Pick a value from the dropdown. To add a new option, add it on the Lists tab." errorStyle="stop" errorTitle="Not in the list" operator="between" showDropDown="false" showErrorMessage="true" showInputMessage="false" sqref="A2:A300" type="list">
      <formula1>Topics!$A$2:$A$40</formula1>
      <formula2>0</formula2>
    </dataValidation>
    <dataValidation allowBlank="true" error="Pick a value from the dropdown. To add a new option, add it on the Lists tab." errorStyle="stop" errorTitle="Not in the list" operator="between" showDropDown="false" showErrorMessage="true" showInputMessage="false" sqref="D2:D300" type="list">
      <formula1>Lists!$B$2:$B$3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15" hidden="false" customHeight="false" outlineLevel="0" collapsed="false">
      <c r="A1" s="16" t="s">
        <v>104</v>
      </c>
      <c r="B1" s="16" t="s">
        <v>371</v>
      </c>
      <c r="C1" s="16" t="s">
        <v>372</v>
      </c>
      <c r="D1" s="16" t="s">
        <v>67</v>
      </c>
      <c r="E1" s="16" t="s">
        <v>103</v>
      </c>
      <c r="F1" s="16" t="s">
        <v>237</v>
      </c>
      <c r="G1" s="16" t="s">
        <v>238</v>
      </c>
    </row>
    <row r="2" customFormat="false" ht="15" hidden="false" customHeight="false" outlineLevel="0" collapsed="false">
      <c r="A2" s="17" t="s">
        <v>41</v>
      </c>
      <c r="B2" s="17" t="s">
        <v>75</v>
      </c>
      <c r="C2" s="17" t="s">
        <v>81</v>
      </c>
      <c r="D2" s="17" t="s">
        <v>74</v>
      </c>
      <c r="E2" s="17" t="s">
        <v>117</v>
      </c>
      <c r="F2" s="17" t="s">
        <v>373</v>
      </c>
      <c r="G2" s="17" t="s">
        <v>374</v>
      </c>
    </row>
    <row r="3" customFormat="false" ht="15" hidden="false" customHeight="false" outlineLevel="0" collapsed="false">
      <c r="A3" s="17" t="s">
        <v>43</v>
      </c>
      <c r="B3" s="17" t="s">
        <v>82</v>
      </c>
      <c r="C3" s="17" t="s">
        <v>132</v>
      </c>
      <c r="D3" s="17" t="s">
        <v>78</v>
      </c>
      <c r="E3" s="17" t="s">
        <v>188</v>
      </c>
      <c r="F3" s="17" t="s">
        <v>375</v>
      </c>
      <c r="G3" s="17" t="s">
        <v>376</v>
      </c>
    </row>
    <row r="4" customFormat="false" ht="15" hidden="false" customHeight="false" outlineLevel="0" collapsed="false">
      <c r="A4" s="17" t="s">
        <v>45</v>
      </c>
      <c r="C4" s="17" t="s">
        <v>121</v>
      </c>
      <c r="D4" s="17" t="s">
        <v>81</v>
      </c>
      <c r="E4" s="17" t="s">
        <v>377</v>
      </c>
      <c r="F4" s="17" t="s">
        <v>378</v>
      </c>
      <c r="G4" s="17" t="s">
        <v>379</v>
      </c>
    </row>
    <row r="5" customFormat="false" ht="15" hidden="false" customHeight="false" outlineLevel="0" collapsed="false">
      <c r="A5" s="17" t="s">
        <v>47</v>
      </c>
      <c r="C5" s="17" t="s">
        <v>114</v>
      </c>
      <c r="D5" s="17" t="s">
        <v>85</v>
      </c>
      <c r="E5" s="17" t="s">
        <v>380</v>
      </c>
      <c r="F5" s="17" t="s">
        <v>381</v>
      </c>
      <c r="G5" s="17" t="s">
        <v>382</v>
      </c>
    </row>
    <row r="6" customFormat="false" ht="15" hidden="false" customHeight="false" outlineLevel="0" collapsed="false">
      <c r="C6" s="17" t="s">
        <v>174</v>
      </c>
      <c r="D6" s="17" t="s">
        <v>88</v>
      </c>
      <c r="E6" s="17" t="s">
        <v>383</v>
      </c>
      <c r="F6" s="17" t="s">
        <v>384</v>
      </c>
    </row>
    <row r="7" customFormat="false" ht="15" hidden="false" customHeight="false" outlineLevel="0" collapsed="false">
      <c r="C7" s="17" t="s">
        <v>138</v>
      </c>
      <c r="D7" s="17" t="s">
        <v>91</v>
      </c>
      <c r="E7" s="17" t="s">
        <v>385</v>
      </c>
    </row>
    <row r="8" customFormat="false" ht="15" hidden="false" customHeight="false" outlineLevel="0" collapsed="false">
      <c r="C8" s="17" t="s">
        <v>168</v>
      </c>
      <c r="D8" s="17" t="s">
        <v>94</v>
      </c>
      <c r="E8" s="17" t="s">
        <v>386</v>
      </c>
    </row>
    <row r="9" customFormat="false" ht="15" hidden="false" customHeight="false" outlineLevel="0" collapsed="false">
      <c r="C9" s="17" t="s">
        <v>162</v>
      </c>
      <c r="E9" s="17" t="s">
        <v>387</v>
      </c>
    </row>
    <row r="10" customFormat="false" ht="15" hidden="false" customHeight="false" outlineLevel="0" collapsed="false">
      <c r="C10" s="17" t="s">
        <v>227</v>
      </c>
    </row>
    <row r="11" customFormat="false" ht="15" hidden="false" customHeight="false" outlineLevel="0" collapsed="false">
      <c r="C11" s="17" t="s">
        <v>144</v>
      </c>
    </row>
    <row r="12" customFormat="false" ht="15" hidden="false" customHeight="false" outlineLevel="0" collapsed="false">
      <c r="C12" s="17" t="s">
        <v>150</v>
      </c>
    </row>
    <row r="13" customFormat="false" ht="15" hidden="false" customHeight="false" outlineLevel="0" collapsed="false">
      <c r="C13" s="17" t="s">
        <v>156</v>
      </c>
    </row>
    <row r="14" customFormat="false" ht="15" hidden="false" customHeight="false" outlineLevel="0" collapsed="false">
      <c r="C14" s="17" t="s">
        <v>180</v>
      </c>
    </row>
    <row r="15" customFormat="false" ht="15" hidden="false" customHeight="false" outlineLevel="0" collapsed="false">
      <c r="C15" s="17" t="s">
        <v>388</v>
      </c>
    </row>
    <row r="16" customFormat="false" ht="15" hidden="false" customHeight="false" outlineLevel="0" collapsed="false">
      <c r="C16" s="17" t="s">
        <v>389</v>
      </c>
    </row>
    <row r="17" customFormat="false" ht="15" hidden="false" customHeight="false" outlineLevel="0" collapsed="false">
      <c r="C17" s="17" t="s">
        <v>390</v>
      </c>
    </row>
    <row r="18" customFormat="false" ht="15" hidden="false" customHeight="false" outlineLevel="0" collapsed="false">
      <c r="C18" s="17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2026-10-07T00:28:59Z</dcterms:created>
  <dc:creator>openpyxl</dc:creator>
  <dc:description/>
  <dc:language>en-US</dc:language>
  <cp:lastModifiedBy/>
  <dcterms:modified xsi:type="dcterms:W3CDTF">2026-10-07T00:29:00Z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